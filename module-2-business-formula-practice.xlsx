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Ostad - Data Analytics\Assignments\Assignment-2\"/>
    </mc:Choice>
  </mc:AlternateContent>
  <xr:revisionPtr revIDLastSave="0" documentId="13_ncr:1_{0BA066B5-8D3B-40B4-96B4-AAE43B704379}" xr6:coauthVersionLast="47" xr6:coauthVersionMax="47" xr10:uidLastSave="{00000000-0000-0000-0000-000000000000}"/>
  <bookViews>
    <workbookView xWindow="-108" yWindow="-108" windowWidth="23256" windowHeight="12456" xr2:uid="{3911F9BB-C970-487C-8371-42A4C8AD676C}"/>
  </bookViews>
  <sheets>
    <sheet name="Sales Data" sheetId="1" r:id="rId1"/>
    <sheet name="High Value Sales" sheetId="2" r:id="rId2"/>
    <sheet name="Product Price List" sheetId="3" r:id="rId3"/>
    <sheet name="Summary" sheetId="4" r:id="rId4"/>
  </sheets>
  <definedNames>
    <definedName name="_xlnm._FilterDatabase" localSheetId="0" hidden="1">'Sales Data'!$A$1:$I$16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 a="1"/>
  <c r="K3" i="1" s="1"/>
  <c r="K4" i="1" a="1"/>
  <c r="K4" i="1"/>
  <c r="K5" i="1" a="1"/>
  <c r="K5" i="1" s="1"/>
  <c r="K6" i="1" a="1"/>
  <c r="K6" i="1"/>
  <c r="K7" i="1" a="1"/>
  <c r="K7" i="1" s="1"/>
  <c r="K8" i="1" a="1"/>
  <c r="K8" i="1"/>
  <c r="K9" i="1" a="1"/>
  <c r="K9" i="1" s="1"/>
  <c r="K10" i="1" a="1"/>
  <c r="K10" i="1"/>
  <c r="K11" i="1" a="1"/>
  <c r="K11" i="1" s="1"/>
  <c r="K12" i="1" a="1"/>
  <c r="K12" i="1"/>
  <c r="K13" i="1" a="1"/>
  <c r="K13" i="1" s="1"/>
  <c r="K14" i="1" a="1"/>
  <c r="K14" i="1"/>
  <c r="K15" i="1" a="1"/>
  <c r="K15" i="1" s="1"/>
  <c r="K16" i="1" a="1"/>
  <c r="K16" i="1"/>
  <c r="K2" i="1" a="1"/>
  <c r="K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F2" i="1"/>
  <c r="G2" i="1" s="1"/>
  <c r="F3" i="1"/>
  <c r="F4" i="1"/>
  <c r="F5" i="1"/>
  <c r="F6" i="1"/>
  <c r="G6" i="1" s="1"/>
  <c r="F7" i="1"/>
  <c r="F8" i="1"/>
  <c r="F9" i="1"/>
  <c r="F10" i="1"/>
  <c r="F11" i="1"/>
  <c r="F12" i="1"/>
  <c r="F13" i="1"/>
  <c r="F14" i="1"/>
  <c r="G14" i="1" s="1"/>
  <c r="F15" i="1"/>
  <c r="F16" i="1"/>
  <c r="G10" i="1"/>
  <c r="G5" i="1"/>
  <c r="H5" i="1" s="1"/>
  <c r="G8" i="1"/>
  <c r="I8" i="1" s="1"/>
  <c r="G12" i="1"/>
  <c r="I12" i="1" s="1"/>
  <c r="G13" i="1"/>
  <c r="H13" i="1" s="1"/>
  <c r="G15" i="1"/>
  <c r="I15" i="1" s="1"/>
  <c r="G16" i="1"/>
  <c r="I16" i="1" s="1"/>
  <c r="G9" i="1"/>
  <c r="I9" i="1" s="1"/>
  <c r="G7" i="1"/>
  <c r="E24" i="1" s="1"/>
  <c r="E20" i="1"/>
  <c r="G3" i="1"/>
  <c r="I3" i="1" s="1"/>
  <c r="G4" i="1"/>
  <c r="G11" i="1"/>
  <c r="I11" i="1" s="1"/>
  <c r="I14" i="1" l="1"/>
  <c r="H14" i="1"/>
  <c r="I10" i="1"/>
  <c r="H10" i="1"/>
  <c r="I6" i="1"/>
  <c r="H6" i="1"/>
  <c r="H15" i="1"/>
  <c r="H7" i="1"/>
  <c r="E25" i="1"/>
  <c r="E22" i="1"/>
  <c r="H11" i="1"/>
  <c r="H3" i="1"/>
  <c r="I13" i="1"/>
  <c r="I5" i="1"/>
  <c r="H9" i="1"/>
  <c r="I7" i="1"/>
  <c r="H16" i="1"/>
  <c r="H12" i="1"/>
  <c r="H8" i="1"/>
  <c r="H4" i="1"/>
  <c r="E21" i="1"/>
  <c r="I4" i="1"/>
  <c r="E19" i="1"/>
  <c r="H2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<sst xmlns="http://schemas.openxmlformats.org/spreadsheetml/2006/main" count="124" uniqueCount="74">
  <si>
    <t>Order ID</t>
  </si>
  <si>
    <t>Salesperson</t>
  </si>
  <si>
    <t>Region</t>
  </si>
  <si>
    <t>Product</t>
  </si>
  <si>
    <t>Quantity</t>
  </si>
  <si>
    <t>Unite Price</t>
  </si>
  <si>
    <t>Total Sales</t>
  </si>
  <si>
    <t>Status</t>
  </si>
  <si>
    <t>ORD-1001</t>
  </si>
  <si>
    <t>John Smith</t>
  </si>
  <si>
    <t>North</t>
  </si>
  <si>
    <t>Laptop</t>
  </si>
  <si>
    <t>ORD-1002</t>
  </si>
  <si>
    <t>Sarah Ahmed</t>
  </si>
  <si>
    <t>South</t>
  </si>
  <si>
    <t>Printer</t>
  </si>
  <si>
    <t>ORD-1003</t>
  </si>
  <si>
    <t>Michael Lee</t>
  </si>
  <si>
    <t>East</t>
  </si>
  <si>
    <t>Monitor</t>
  </si>
  <si>
    <t>ORD-1004</t>
  </si>
  <si>
    <t>Emily Davis</t>
  </si>
  <si>
    <t>West</t>
  </si>
  <si>
    <t>Keyboard</t>
  </si>
  <si>
    <t>ORD-1005</t>
  </si>
  <si>
    <t>David Brown</t>
  </si>
  <si>
    <t>Central</t>
  </si>
  <si>
    <t>Mouse</t>
  </si>
  <si>
    <t>ORD-1006</t>
  </si>
  <si>
    <t>Olivia Wilson</t>
  </si>
  <si>
    <t>Tablet</t>
  </si>
  <si>
    <t>ORD-1007</t>
  </si>
  <si>
    <t>Daniel Kim</t>
  </si>
  <si>
    <t>Smartphone</t>
  </si>
  <si>
    <t>ORD-1008</t>
  </si>
  <si>
    <t>Sophia Martinez</t>
  </si>
  <si>
    <t>Headphones</t>
  </si>
  <si>
    <t>ORD-1009</t>
  </si>
  <si>
    <t>James Taylor</t>
  </si>
  <si>
    <t>Webcam</t>
  </si>
  <si>
    <t>ORD-1010</t>
  </si>
  <si>
    <t>Isabella Thomas</t>
  </si>
  <si>
    <t>Router</t>
  </si>
  <si>
    <t>ORD-1011</t>
  </si>
  <si>
    <t>William Clark</t>
  </si>
  <si>
    <t>SSD Drive</t>
  </si>
  <si>
    <t>ORD-1012</t>
  </si>
  <si>
    <t>Mia Johnson</t>
  </si>
  <si>
    <t>Office Chair</t>
  </si>
  <si>
    <t>ORD-1013</t>
  </si>
  <si>
    <t>Benjamin White</t>
  </si>
  <si>
    <t>Projector</t>
  </si>
  <si>
    <t>ORD-1014</t>
  </si>
  <si>
    <t>Charlotte Harris</t>
  </si>
  <si>
    <t>External HDD</t>
  </si>
  <si>
    <t>ORD-1015</t>
  </si>
  <si>
    <t>Ethan Walker</t>
  </si>
  <si>
    <t>Desk Lamp</t>
  </si>
  <si>
    <t>Performance</t>
  </si>
  <si>
    <t>High Sale</t>
  </si>
  <si>
    <t>Good</t>
  </si>
  <si>
    <t>Total Sales for Laptop</t>
  </si>
  <si>
    <t>Total Orders in North Region</t>
  </si>
  <si>
    <t>Smartphone Sales in South</t>
  </si>
  <si>
    <t>East Region Sales above 1000</t>
  </si>
  <si>
    <t>Average Total Sales of Tablet</t>
  </si>
  <si>
    <t>North Region Quantity greater than 2</t>
  </si>
  <si>
    <t>Standard Price</t>
  </si>
  <si>
    <t>Row Labels</t>
  </si>
  <si>
    <t>Grand Total</t>
  </si>
  <si>
    <t>Sum of Total Sales</t>
  </si>
  <si>
    <t>Summary</t>
  </si>
  <si>
    <t>Text_split</t>
  </si>
  <si>
    <t>Sales Info (Using Concatenate)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</si>
</sst>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jad" refreshedDate="46159.682954166667" createdVersion="8" refreshedVersion="8" minRefreshableVersion="3" recordCount="15" xr:uid="{E4D8120E-801F-4BC5-BA75-D159652BAE39}">
  <cacheSource type="worksheet">
    <worksheetSource ref="A1:J16" sheet="Sales Data"/>
  </cacheSource>
  <cacheFields count="10">
    <cacheField name="Order ID" numFmtId="0">
      <sharedItems/>
    </cacheField>
    <cacheField name="Salesperson" numFmtId="0">
      <sharedItems/>
    </cacheField>
    <cacheField name="Region" numFmtId="0">
      <sharedItems count="5">
        <s v="North"/>
        <s v="South"/>
        <s v="East"/>
        <s v="West"/>
        <s v="Central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e Price" numFmtId="0">
      <sharedItems containsSemiMixedTypes="0" containsString="0" containsNumber="1" containsInteger="1" minValue="18" maxValue="950"/>
    </cacheField>
    <cacheField name="Total Sales" numFmtId="0">
      <sharedItems containsSemiMixedTypes="0" containsString="0" containsNumber="1" containsInteger="1" minValue="360" maxValue="4250"/>
    </cacheField>
    <cacheField name="Status" numFmtId="0">
      <sharedItems/>
    </cacheField>
    <cacheField name="Performance" numFmtId="0">
      <sharedItems/>
    </cacheField>
    <cacheField name="Sales Inf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RD-1001"/>
    <s v="John Smith"/>
    <x v="0"/>
    <s v="Laptop"/>
    <n v="5"/>
    <n v="850"/>
    <n v="4250"/>
    <s v="High Sale"/>
    <s v="Good"/>
    <s v="John Smith-Laptop-North"/>
  </r>
  <r>
    <s v="ORD-1002"/>
    <s v="Sarah Ahmed"/>
    <x v="1"/>
    <s v="Printer"/>
    <n v="3"/>
    <n v="220"/>
    <n v="660"/>
    <s v="Low Sale"/>
    <s v="Average"/>
    <s v="Sarah Ahmed-Printer-South"/>
  </r>
  <r>
    <s v="ORD-1003"/>
    <s v="Michael Lee"/>
    <x v="2"/>
    <s v="Monitor"/>
    <n v="7"/>
    <n v="180"/>
    <n v="1260"/>
    <s v="Low Sale"/>
    <s v="Average"/>
    <s v="Michael Lee-Monitor-East"/>
  </r>
  <r>
    <s v="ORD-1004"/>
    <s v="Emily Davis"/>
    <x v="3"/>
    <s v="Keyboard"/>
    <n v="15"/>
    <n v="25"/>
    <n v="375"/>
    <s v="Low Sale"/>
    <s v="Good"/>
    <s v="Emily Davis-Keyboard-West"/>
  </r>
  <r>
    <s v="ORD-1005"/>
    <s v="David Brown"/>
    <x v="4"/>
    <s v="Mouse"/>
    <n v="20"/>
    <n v="18"/>
    <n v="360"/>
    <s v="Low Sale"/>
    <s v="Good"/>
    <s v="David Brown-Mouse-Central"/>
  </r>
  <r>
    <s v="ORD-1006"/>
    <s v="Olivia Wilson"/>
    <x v="0"/>
    <s v="Tablet"/>
    <n v="4"/>
    <n v="420"/>
    <n v="1680"/>
    <s v="High Sale"/>
    <s v="Good"/>
    <s v="Olivia Wilson-Tablet-North"/>
  </r>
  <r>
    <s v="ORD-1007"/>
    <s v="Daniel Kim"/>
    <x v="1"/>
    <s v="Smartphone"/>
    <n v="6"/>
    <n v="650"/>
    <n v="3900"/>
    <s v="High Sale"/>
    <s v="Good"/>
    <s v="Daniel Kim-Smartphone-South"/>
  </r>
  <r>
    <s v="ORD-1008"/>
    <s v="Sophia Martinez"/>
    <x v="2"/>
    <s v="Headphones"/>
    <n v="10"/>
    <n v="75"/>
    <n v="750"/>
    <s v="Low Sale"/>
    <s v="Good"/>
    <s v="Sophia Martinez-Headphones-East"/>
  </r>
  <r>
    <s v="ORD-1009"/>
    <s v="James Taylor"/>
    <x v="3"/>
    <s v="Webcam"/>
    <n v="8"/>
    <n v="55"/>
    <n v="440"/>
    <s v="Low Sale"/>
    <s v="Average"/>
    <s v="James Taylor-Webcam-West"/>
  </r>
  <r>
    <s v="ORD-1010"/>
    <s v="Isabella Thomas"/>
    <x v="4"/>
    <s v="Router"/>
    <n v="5"/>
    <n v="95"/>
    <n v="475"/>
    <s v="Low Sale"/>
    <s v="Average"/>
    <s v="Isabella Thomas-Router-Central"/>
  </r>
  <r>
    <s v="ORD-1011"/>
    <s v="William Clark"/>
    <x v="0"/>
    <s v="SSD Drive"/>
    <n v="12"/>
    <n v="110"/>
    <n v="1320"/>
    <s v="Low Sale"/>
    <s v="Good"/>
    <s v="William Clark-SSD Drive-North"/>
  </r>
  <r>
    <s v="ORD-1012"/>
    <s v="Mia Johnson"/>
    <x v="1"/>
    <s v="Office Chair"/>
    <n v="2"/>
    <n v="280"/>
    <n v="560"/>
    <s v="Low Sale"/>
    <s v="Average"/>
    <s v="Mia Johnson-Office Chair-South"/>
  </r>
  <r>
    <s v="ORD-1013"/>
    <s v="Benjamin White"/>
    <x v="2"/>
    <s v="Projector"/>
    <n v="1"/>
    <n v="950"/>
    <n v="950"/>
    <s v="Low Sale"/>
    <s v="Average"/>
    <s v="Benjamin White-Projector-East"/>
  </r>
  <r>
    <s v="ORD-1014"/>
    <s v="Charlotte Harris"/>
    <x v="3"/>
    <s v="External HDD"/>
    <n v="9"/>
    <n v="130"/>
    <n v="1170"/>
    <s v="Low Sale"/>
    <s v="Average"/>
    <s v="Charlotte Harris-External HDD-West"/>
  </r>
  <r>
    <s v="ORD-1015"/>
    <s v="Ethan Walker"/>
    <x v="4"/>
    <s v="Desk Lamp"/>
    <n v="14"/>
    <n v="35"/>
    <n v="490"/>
    <s v="Low Sale"/>
    <s v="Good"/>
    <s v="Ethan Walker-Desk Lamp-Cent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FF4CA-1C6B-4DB2-8EEC-859D43152C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10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3293-D993-4574-B22E-A285F6A3276C}">
  <dimension ref="A1:M25"/>
  <sheetViews>
    <sheetView tabSelected="1" workbookViewId="0">
      <selection activeCell="I21" sqref="I21"/>
    </sheetView>
  </sheetViews>
  <sheetFormatPr defaultRowHeight="14.4" x14ac:dyDescent="0.3"/>
  <cols>
    <col min="1" max="1" width="9.6640625" customWidth="1"/>
    <col min="2" max="2" width="16.5546875" customWidth="1"/>
    <col min="3" max="3" width="6.88671875" bestFit="1" customWidth="1"/>
    <col min="4" max="4" width="30.21875" bestFit="1" customWidth="1"/>
    <col min="5" max="5" width="12" bestFit="1" customWidth="1"/>
    <col min="6" max="6" width="9.77734375" bestFit="1" customWidth="1"/>
    <col min="7" max="7" width="9.5546875" bestFit="1" customWidth="1"/>
    <col min="8" max="8" width="8.44140625" bestFit="1" customWidth="1"/>
    <col min="9" max="9" width="11.5546875" bestFit="1" customWidth="1"/>
    <col min="10" max="10" width="30.33203125" bestFit="1" customWidth="1"/>
    <col min="11" max="11" width="14" bestFit="1" customWidth="1"/>
    <col min="12" max="12" width="11.5546875" bestFit="1" customWidth="1"/>
    <col min="13" max="13" width="6.88671875" bestFit="1" customWidth="1"/>
  </cols>
  <sheetData>
    <row r="1" spans="1:13" ht="27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58</v>
      </c>
      <c r="J1" s="10" t="s">
        <v>73</v>
      </c>
      <c r="K1" s="11" t="s">
        <v>72</v>
      </c>
      <c r="L1" s="12"/>
      <c r="M1" s="13"/>
    </row>
    <row r="2" spans="1:13" x14ac:dyDescent="0.3">
      <c r="A2" s="3" t="s">
        <v>8</v>
      </c>
      <c r="B2" s="4" t="s">
        <v>9</v>
      </c>
      <c r="C2" s="4" t="s">
        <v>10</v>
      </c>
      <c r="D2" s="4" t="s">
        <v>11</v>
      </c>
      <c r="E2" s="3">
        <v>5</v>
      </c>
      <c r="F2" s="3">
        <f>VLOOKUP(D2,'Product Price List'!A1:B16,2,0)</f>
        <v>850</v>
      </c>
      <c r="G2" s="3">
        <f>E2*F2</f>
        <v>4250</v>
      </c>
      <c r="H2" s="4" t="str">
        <f>IF(G2&gt;=1500,"High Sale","Low Sale")</f>
        <v>High Sale</v>
      </c>
      <c r="I2" s="5" t="str">
        <f>IF(AND(E2&gt;=10,G2&gt;=1500),"Excellent",IF(OR(E2&gt;=10,G2&gt;=1500),"Good","Average"))</f>
        <v>Good</v>
      </c>
      <c r="J2" s="5" t="str">
        <f>_xlfn.CONCAT(B2,"-",D2,"-",C2)</f>
        <v>John Smith-Laptop-North</v>
      </c>
      <c r="K2" s="5" t="str" cm="1">
        <f t="array" ref="K2:M2">_xlfn.TEXTSPLIT('Sales Data'!J2,"-")</f>
        <v>John Smith</v>
      </c>
      <c r="L2" s="5" t="str">
        <v>Laptop</v>
      </c>
      <c r="M2" s="5" t="str">
        <v>North</v>
      </c>
    </row>
    <row r="3" spans="1:13" x14ac:dyDescent="0.3">
      <c r="A3" s="3" t="s">
        <v>12</v>
      </c>
      <c r="B3" s="4" t="s">
        <v>13</v>
      </c>
      <c r="C3" s="4" t="s">
        <v>14</v>
      </c>
      <c r="D3" s="4" t="s">
        <v>15</v>
      </c>
      <c r="E3" s="3">
        <v>3</v>
      </c>
      <c r="F3" s="3">
        <f>VLOOKUP(D3,'Product Price List'!A2:B17,2,0)</f>
        <v>220</v>
      </c>
      <c r="G3" s="3">
        <f t="shared" ref="G3:G16" si="0">E3*F3</f>
        <v>660</v>
      </c>
      <c r="H3" s="4" t="str">
        <f t="shared" ref="H3:H16" si="1">IF(G3&gt;=1500,"High Sale","Low Sale")</f>
        <v>Low Sale</v>
      </c>
      <c r="I3" s="5" t="str">
        <f t="shared" ref="I3:I16" si="2">IF(AND(E3&gt;=10,G3&gt;=1500),"Excellent",IF(OR(E3&gt;=10,G3&gt;=1500),"Good","Average"))</f>
        <v>Average</v>
      </c>
      <c r="J3" s="5" t="str">
        <f t="shared" ref="J3:J16" si="3">_xlfn.CONCAT(B3,"-",D3,"-",C3)</f>
        <v>Sarah Ahmed-Printer-South</v>
      </c>
      <c r="K3" s="5" t="str" cm="1">
        <f t="array" ref="K3:M3">_xlfn.TEXTSPLIT('Sales Data'!J3,"-")</f>
        <v>Sarah Ahmed</v>
      </c>
      <c r="L3" s="5" t="str">
        <v>Printer</v>
      </c>
      <c r="M3" s="5" t="str">
        <v>South</v>
      </c>
    </row>
    <row r="4" spans="1:13" x14ac:dyDescent="0.3">
      <c r="A4" s="3" t="s">
        <v>16</v>
      </c>
      <c r="B4" s="4" t="s">
        <v>17</v>
      </c>
      <c r="C4" s="4" t="s">
        <v>18</v>
      </c>
      <c r="D4" s="4" t="s">
        <v>19</v>
      </c>
      <c r="E4" s="3">
        <v>7</v>
      </c>
      <c r="F4" s="3">
        <f>VLOOKUP(D4,'Product Price List'!A3:B18,2,0)</f>
        <v>180</v>
      </c>
      <c r="G4" s="3">
        <f t="shared" si="0"/>
        <v>1260</v>
      </c>
      <c r="H4" s="4" t="str">
        <f t="shared" si="1"/>
        <v>Low Sale</v>
      </c>
      <c r="I4" s="5" t="str">
        <f t="shared" si="2"/>
        <v>Average</v>
      </c>
      <c r="J4" s="5" t="str">
        <f t="shared" si="3"/>
        <v>Michael Lee-Monitor-East</v>
      </c>
      <c r="K4" s="5" t="str" cm="1">
        <f t="array" ref="K4:M4">_xlfn.TEXTSPLIT('Sales Data'!J4,"-")</f>
        <v>Michael Lee</v>
      </c>
      <c r="L4" s="5" t="str">
        <v>Monitor</v>
      </c>
      <c r="M4" s="5" t="str">
        <v>East</v>
      </c>
    </row>
    <row r="5" spans="1:13" x14ac:dyDescent="0.3">
      <c r="A5" s="3" t="s">
        <v>20</v>
      </c>
      <c r="B5" s="4" t="s">
        <v>21</v>
      </c>
      <c r="C5" s="4" t="s">
        <v>22</v>
      </c>
      <c r="D5" s="4" t="s">
        <v>23</v>
      </c>
      <c r="E5" s="3">
        <v>15</v>
      </c>
      <c r="F5" s="3">
        <f>VLOOKUP(D5,'Product Price List'!A4:B19,2,0)</f>
        <v>25</v>
      </c>
      <c r="G5" s="3">
        <f t="shared" si="0"/>
        <v>375</v>
      </c>
      <c r="H5" s="4" t="str">
        <f t="shared" si="1"/>
        <v>Low Sale</v>
      </c>
      <c r="I5" s="5" t="str">
        <f t="shared" si="2"/>
        <v>Good</v>
      </c>
      <c r="J5" s="5" t="str">
        <f t="shared" si="3"/>
        <v>Emily Davis-Keyboard-West</v>
      </c>
      <c r="K5" s="5" t="str" cm="1">
        <f t="array" ref="K5:M5">_xlfn.TEXTSPLIT('Sales Data'!J5,"-")</f>
        <v>Emily Davis</v>
      </c>
      <c r="L5" s="5" t="str">
        <v>Keyboard</v>
      </c>
      <c r="M5" s="5" t="str">
        <v>West</v>
      </c>
    </row>
    <row r="6" spans="1:13" x14ac:dyDescent="0.3">
      <c r="A6" s="3" t="s">
        <v>24</v>
      </c>
      <c r="B6" s="4" t="s">
        <v>25</v>
      </c>
      <c r="C6" s="4" t="s">
        <v>26</v>
      </c>
      <c r="D6" s="4" t="s">
        <v>27</v>
      </c>
      <c r="E6" s="3">
        <v>20</v>
      </c>
      <c r="F6" s="3">
        <f>VLOOKUP(D6,'Product Price List'!A5:B20,2,0)</f>
        <v>18</v>
      </c>
      <c r="G6" s="3">
        <f t="shared" si="0"/>
        <v>360</v>
      </c>
      <c r="H6" s="4" t="str">
        <f t="shared" si="1"/>
        <v>Low Sale</v>
      </c>
      <c r="I6" s="5" t="str">
        <f t="shared" si="2"/>
        <v>Good</v>
      </c>
      <c r="J6" s="5" t="str">
        <f t="shared" si="3"/>
        <v>David Brown-Mouse-Central</v>
      </c>
      <c r="K6" s="5" t="str" cm="1">
        <f t="array" ref="K6:M6">_xlfn.TEXTSPLIT('Sales Data'!J6,"-")</f>
        <v>David Brown</v>
      </c>
      <c r="L6" s="5" t="str">
        <v>Mouse</v>
      </c>
      <c r="M6" s="5" t="str">
        <v>Central</v>
      </c>
    </row>
    <row r="7" spans="1:13" x14ac:dyDescent="0.3">
      <c r="A7" s="3" t="s">
        <v>28</v>
      </c>
      <c r="B7" s="4" t="s">
        <v>29</v>
      </c>
      <c r="C7" s="4" t="s">
        <v>10</v>
      </c>
      <c r="D7" s="4" t="s">
        <v>30</v>
      </c>
      <c r="E7" s="3">
        <v>4</v>
      </c>
      <c r="F7" s="3">
        <f>VLOOKUP(D7,'Product Price List'!A6:B21,2,0)</f>
        <v>420</v>
      </c>
      <c r="G7" s="3">
        <f t="shared" si="0"/>
        <v>1680</v>
      </c>
      <c r="H7" s="4" t="str">
        <f t="shared" si="1"/>
        <v>High Sale</v>
      </c>
      <c r="I7" s="5" t="str">
        <f t="shared" si="2"/>
        <v>Good</v>
      </c>
      <c r="J7" s="5" t="str">
        <f t="shared" si="3"/>
        <v>Olivia Wilson-Tablet-North</v>
      </c>
      <c r="K7" s="5" t="str" cm="1">
        <f t="array" ref="K7:M7">_xlfn.TEXTSPLIT('Sales Data'!J7,"-")</f>
        <v>Olivia Wilson</v>
      </c>
      <c r="L7" s="5" t="str">
        <v>Tablet</v>
      </c>
      <c r="M7" s="5" t="str">
        <v>North</v>
      </c>
    </row>
    <row r="8" spans="1:13" x14ac:dyDescent="0.3">
      <c r="A8" s="3" t="s">
        <v>31</v>
      </c>
      <c r="B8" s="4" t="s">
        <v>32</v>
      </c>
      <c r="C8" s="4" t="s">
        <v>14</v>
      </c>
      <c r="D8" s="4" t="s">
        <v>33</v>
      </c>
      <c r="E8" s="3">
        <v>6</v>
      </c>
      <c r="F8" s="3">
        <f>VLOOKUP(D8,'Product Price List'!A7:B22,2,0)</f>
        <v>650</v>
      </c>
      <c r="G8" s="3">
        <f t="shared" si="0"/>
        <v>3900</v>
      </c>
      <c r="H8" s="4" t="str">
        <f t="shared" si="1"/>
        <v>High Sale</v>
      </c>
      <c r="I8" s="5" t="str">
        <f t="shared" si="2"/>
        <v>Good</v>
      </c>
      <c r="J8" s="5" t="str">
        <f t="shared" si="3"/>
        <v>Daniel Kim-Smartphone-South</v>
      </c>
      <c r="K8" s="5" t="str" cm="1">
        <f t="array" ref="K8:M8">_xlfn.TEXTSPLIT('Sales Data'!J8,"-")</f>
        <v>Daniel Kim</v>
      </c>
      <c r="L8" s="5" t="str">
        <v>Smartphone</v>
      </c>
      <c r="M8" s="5" t="str">
        <v>South</v>
      </c>
    </row>
    <row r="9" spans="1:13" x14ac:dyDescent="0.3">
      <c r="A9" s="3" t="s">
        <v>34</v>
      </c>
      <c r="B9" s="4" t="s">
        <v>35</v>
      </c>
      <c r="C9" s="4" t="s">
        <v>18</v>
      </c>
      <c r="D9" s="4" t="s">
        <v>36</v>
      </c>
      <c r="E9" s="3">
        <v>10</v>
      </c>
      <c r="F9" s="3">
        <f>VLOOKUP(D9,'Product Price List'!A8:B23,2,0)</f>
        <v>75</v>
      </c>
      <c r="G9" s="3">
        <f t="shared" si="0"/>
        <v>750</v>
      </c>
      <c r="H9" s="4" t="str">
        <f t="shared" si="1"/>
        <v>Low Sale</v>
      </c>
      <c r="I9" s="5" t="str">
        <f t="shared" si="2"/>
        <v>Good</v>
      </c>
      <c r="J9" s="5" t="str">
        <f t="shared" si="3"/>
        <v>Sophia Martinez-Headphones-East</v>
      </c>
      <c r="K9" s="5" t="str" cm="1">
        <f t="array" ref="K9:M9">_xlfn.TEXTSPLIT('Sales Data'!J9,"-")</f>
        <v>Sophia Martinez</v>
      </c>
      <c r="L9" s="5" t="str">
        <v>Headphones</v>
      </c>
      <c r="M9" s="5" t="str">
        <v>East</v>
      </c>
    </row>
    <row r="10" spans="1:13" x14ac:dyDescent="0.3">
      <c r="A10" s="3" t="s">
        <v>37</v>
      </c>
      <c r="B10" s="4" t="s">
        <v>38</v>
      </c>
      <c r="C10" s="4" t="s">
        <v>22</v>
      </c>
      <c r="D10" s="4" t="s">
        <v>39</v>
      </c>
      <c r="E10" s="3">
        <v>8</v>
      </c>
      <c r="F10" s="3">
        <f>VLOOKUP(D10,'Product Price List'!A9:B24,2,0)</f>
        <v>55</v>
      </c>
      <c r="G10" s="3">
        <f t="shared" si="0"/>
        <v>440</v>
      </c>
      <c r="H10" s="4" t="str">
        <f t="shared" si="1"/>
        <v>Low Sale</v>
      </c>
      <c r="I10" s="5" t="str">
        <f t="shared" si="2"/>
        <v>Average</v>
      </c>
      <c r="J10" s="5" t="str">
        <f t="shared" si="3"/>
        <v>James Taylor-Webcam-West</v>
      </c>
      <c r="K10" s="5" t="str" cm="1">
        <f t="array" ref="K10:M10">_xlfn.TEXTSPLIT('Sales Data'!J10,"-")</f>
        <v>James Taylor</v>
      </c>
      <c r="L10" s="5" t="str">
        <v>Webcam</v>
      </c>
      <c r="M10" s="5" t="str">
        <v>West</v>
      </c>
    </row>
    <row r="11" spans="1:13" x14ac:dyDescent="0.3">
      <c r="A11" s="3" t="s">
        <v>40</v>
      </c>
      <c r="B11" s="4" t="s">
        <v>41</v>
      </c>
      <c r="C11" s="4" t="s">
        <v>26</v>
      </c>
      <c r="D11" s="4" t="s">
        <v>42</v>
      </c>
      <c r="E11" s="3">
        <v>5</v>
      </c>
      <c r="F11" s="3">
        <f>VLOOKUP(D11,'Product Price List'!A10:B25,2,0)</f>
        <v>95</v>
      </c>
      <c r="G11" s="3">
        <f t="shared" si="0"/>
        <v>475</v>
      </c>
      <c r="H11" s="4" t="str">
        <f t="shared" si="1"/>
        <v>Low Sale</v>
      </c>
      <c r="I11" s="5" t="str">
        <f t="shared" si="2"/>
        <v>Average</v>
      </c>
      <c r="J11" s="5" t="str">
        <f t="shared" si="3"/>
        <v>Isabella Thomas-Router-Central</v>
      </c>
      <c r="K11" s="5" t="str" cm="1">
        <f t="array" ref="K11:M11">_xlfn.TEXTSPLIT('Sales Data'!J11,"-")</f>
        <v>Isabella Thomas</v>
      </c>
      <c r="L11" s="5" t="str">
        <v>Router</v>
      </c>
      <c r="M11" s="5" t="str">
        <v>Central</v>
      </c>
    </row>
    <row r="12" spans="1:13" x14ac:dyDescent="0.3">
      <c r="A12" s="3" t="s">
        <v>43</v>
      </c>
      <c r="B12" s="4" t="s">
        <v>44</v>
      </c>
      <c r="C12" s="4" t="s">
        <v>10</v>
      </c>
      <c r="D12" s="4" t="s">
        <v>45</v>
      </c>
      <c r="E12" s="3">
        <v>12</v>
      </c>
      <c r="F12" s="3">
        <f>VLOOKUP(D12,'Product Price List'!A11:B26,2,0)</f>
        <v>110</v>
      </c>
      <c r="G12" s="3">
        <f t="shared" si="0"/>
        <v>1320</v>
      </c>
      <c r="H12" s="4" t="str">
        <f t="shared" si="1"/>
        <v>Low Sale</v>
      </c>
      <c r="I12" s="5" t="str">
        <f t="shared" si="2"/>
        <v>Good</v>
      </c>
      <c r="J12" s="5" t="str">
        <f t="shared" si="3"/>
        <v>William Clark-SSD Drive-North</v>
      </c>
      <c r="K12" s="5" t="str" cm="1">
        <f t="array" ref="K12:M12">_xlfn.TEXTSPLIT('Sales Data'!J12,"-")</f>
        <v>William Clark</v>
      </c>
      <c r="L12" s="5" t="str">
        <v>SSD Drive</v>
      </c>
      <c r="M12" s="5" t="str">
        <v>North</v>
      </c>
    </row>
    <row r="13" spans="1:13" x14ac:dyDescent="0.3">
      <c r="A13" s="3" t="s">
        <v>46</v>
      </c>
      <c r="B13" s="4" t="s">
        <v>47</v>
      </c>
      <c r="C13" s="4" t="s">
        <v>14</v>
      </c>
      <c r="D13" s="4" t="s">
        <v>48</v>
      </c>
      <c r="E13" s="3">
        <v>2</v>
      </c>
      <c r="F13" s="3">
        <f>VLOOKUP(D13,'Product Price List'!A12:B27,2,0)</f>
        <v>280</v>
      </c>
      <c r="G13" s="3">
        <f t="shared" si="0"/>
        <v>560</v>
      </c>
      <c r="H13" s="4" t="str">
        <f t="shared" si="1"/>
        <v>Low Sale</v>
      </c>
      <c r="I13" s="5" t="str">
        <f t="shared" si="2"/>
        <v>Average</v>
      </c>
      <c r="J13" s="5" t="str">
        <f t="shared" si="3"/>
        <v>Mia Johnson-Office Chair-South</v>
      </c>
      <c r="K13" s="5" t="str" cm="1">
        <f t="array" ref="K13:M13">_xlfn.TEXTSPLIT('Sales Data'!J13,"-")</f>
        <v>Mia Johnson</v>
      </c>
      <c r="L13" s="5" t="str">
        <v>Office Chair</v>
      </c>
      <c r="M13" s="5" t="str">
        <v>South</v>
      </c>
    </row>
    <row r="14" spans="1:13" x14ac:dyDescent="0.3">
      <c r="A14" s="3" t="s">
        <v>49</v>
      </c>
      <c r="B14" s="4" t="s">
        <v>50</v>
      </c>
      <c r="C14" s="4" t="s">
        <v>18</v>
      </c>
      <c r="D14" s="4" t="s">
        <v>51</v>
      </c>
      <c r="E14" s="3">
        <v>1</v>
      </c>
      <c r="F14" s="3">
        <f>VLOOKUP(D14,'Product Price List'!A13:B28,2,0)</f>
        <v>950</v>
      </c>
      <c r="G14" s="3">
        <f t="shared" si="0"/>
        <v>950</v>
      </c>
      <c r="H14" s="4" t="str">
        <f t="shared" si="1"/>
        <v>Low Sale</v>
      </c>
      <c r="I14" s="5" t="str">
        <f t="shared" si="2"/>
        <v>Average</v>
      </c>
      <c r="J14" s="5" t="str">
        <f t="shared" si="3"/>
        <v>Benjamin White-Projector-East</v>
      </c>
      <c r="K14" s="5" t="str" cm="1">
        <f t="array" ref="K14:M14">_xlfn.TEXTSPLIT('Sales Data'!J14,"-")</f>
        <v>Benjamin White</v>
      </c>
      <c r="L14" s="5" t="str">
        <v>Projector</v>
      </c>
      <c r="M14" s="5" t="str">
        <v>East</v>
      </c>
    </row>
    <row r="15" spans="1:13" x14ac:dyDescent="0.3">
      <c r="A15" s="3" t="s">
        <v>52</v>
      </c>
      <c r="B15" s="4" t="s">
        <v>53</v>
      </c>
      <c r="C15" s="4" t="s">
        <v>22</v>
      </c>
      <c r="D15" s="4" t="s">
        <v>54</v>
      </c>
      <c r="E15" s="3">
        <v>9</v>
      </c>
      <c r="F15" s="3">
        <f>VLOOKUP(D15,'Product Price List'!A14:B29,2,0)</f>
        <v>130</v>
      </c>
      <c r="G15" s="3">
        <f t="shared" si="0"/>
        <v>1170</v>
      </c>
      <c r="H15" s="4" t="str">
        <f t="shared" si="1"/>
        <v>Low Sale</v>
      </c>
      <c r="I15" s="5" t="str">
        <f t="shared" si="2"/>
        <v>Average</v>
      </c>
      <c r="J15" s="5" t="str">
        <f t="shared" si="3"/>
        <v>Charlotte Harris-External HDD-West</v>
      </c>
      <c r="K15" s="5" t="str" cm="1">
        <f t="array" ref="K15:M15">_xlfn.TEXTSPLIT('Sales Data'!J15,"-")</f>
        <v>Charlotte Harris</v>
      </c>
      <c r="L15" s="5" t="str">
        <v>External HDD</v>
      </c>
      <c r="M15" s="5" t="str">
        <v>West</v>
      </c>
    </row>
    <row r="16" spans="1:13" x14ac:dyDescent="0.3">
      <c r="A16" s="3" t="s">
        <v>55</v>
      </c>
      <c r="B16" s="4" t="s">
        <v>56</v>
      </c>
      <c r="C16" s="4" t="s">
        <v>26</v>
      </c>
      <c r="D16" s="4" t="s">
        <v>57</v>
      </c>
      <c r="E16" s="3">
        <v>14</v>
      </c>
      <c r="F16" s="3">
        <f>VLOOKUP(D16,'Product Price List'!A15:B30,2,0)</f>
        <v>35</v>
      </c>
      <c r="G16" s="3">
        <f t="shared" si="0"/>
        <v>490</v>
      </c>
      <c r="H16" s="4" t="str">
        <f t="shared" si="1"/>
        <v>Low Sale</v>
      </c>
      <c r="I16" s="5" t="str">
        <f t="shared" si="2"/>
        <v>Good</v>
      </c>
      <c r="J16" s="5" t="str">
        <f t="shared" si="3"/>
        <v>Ethan Walker-Desk Lamp-Central</v>
      </c>
      <c r="K16" s="5" t="str" cm="1">
        <f t="array" ref="K16:M16">_xlfn.TEXTSPLIT('Sales Data'!J16,"-")</f>
        <v>Ethan Walker</v>
      </c>
      <c r="L16" s="5" t="str">
        <v>Desk Lamp</v>
      </c>
      <c r="M16" s="5" t="str">
        <v>Central</v>
      </c>
    </row>
    <row r="19" spans="4:5" x14ac:dyDescent="0.3">
      <c r="D19" s="1" t="s">
        <v>61</v>
      </c>
      <c r="E19" s="1">
        <f>SUMIF(D2:D16,"Laptop",G2:G16)</f>
        <v>4250</v>
      </c>
    </row>
    <row r="20" spans="4:5" x14ac:dyDescent="0.3">
      <c r="D20" s="1" t="s">
        <v>62</v>
      </c>
      <c r="E20" s="1">
        <f>COUNTIF(C2:C16,"North")</f>
        <v>3</v>
      </c>
    </row>
    <row r="21" spans="4:5" x14ac:dyDescent="0.3">
      <c r="D21" s="1" t="s">
        <v>63</v>
      </c>
      <c r="E21" s="1">
        <f>SUMIFS(G2:G16,D2:D16,"Smartphone",C2:C16,"South")</f>
        <v>3900</v>
      </c>
    </row>
    <row r="22" spans="4:5" x14ac:dyDescent="0.3">
      <c r="D22" s="1" t="s">
        <v>64</v>
      </c>
      <c r="E22" s="1">
        <f>COUNTIFS(C2:C16,"East",G2:G16,"&gt;1000")</f>
        <v>1</v>
      </c>
    </row>
    <row r="24" spans="4:5" x14ac:dyDescent="0.3">
      <c r="D24" s="1" t="s">
        <v>65</v>
      </c>
      <c r="E24" s="1">
        <f>AVERAGEIF(D2:D16,"Tablet",G2:G16)</f>
        <v>1680</v>
      </c>
    </row>
    <row r="25" spans="4:5" x14ac:dyDescent="0.3">
      <c r="D25" s="1" t="s">
        <v>66</v>
      </c>
      <c r="E25" s="1">
        <f>AVERAGEIFS(G2:G16,C2:C16,"North",E2:E16,"&gt;2")</f>
        <v>2416.6666666666665</v>
      </c>
    </row>
  </sheetData>
  <mergeCells count="1">
    <mergeCell ref="K1:M1"/>
  </mergeCells>
  <printOptions horizontalCentered="1"/>
  <pageMargins left="0.7" right="0.7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9161-D243-4177-AFEF-1F9661D48CA6}">
  <dimension ref="A1:I3"/>
  <sheetViews>
    <sheetView workbookViewId="0">
      <selection activeCell="J3" sqref="J3"/>
    </sheetView>
  </sheetViews>
  <sheetFormatPr defaultRowHeight="14.4" x14ac:dyDescent="0.3"/>
  <cols>
    <col min="1" max="1" width="9.44140625" bestFit="1" customWidth="1"/>
    <col min="2" max="2" width="10.88671875" bestFit="1" customWidth="1"/>
    <col min="3" max="3" width="8" bestFit="1" customWidth="1"/>
    <col min="4" max="4" width="10.5546875" bestFit="1" customWidth="1"/>
    <col min="5" max="5" width="7.5546875" bestFit="1" customWidth="1"/>
    <col min="6" max="6" width="9.6640625" bestFit="1" customWidth="1"/>
    <col min="7" max="7" width="10" bestFit="1" customWidth="1"/>
    <col min="8" max="8" width="8.6640625" bestFit="1" customWidth="1"/>
    <col min="9" max="9" width="11.109375" bestFit="1" customWidth="1"/>
  </cols>
  <sheetData>
    <row r="1" spans="1:9" ht="20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58</v>
      </c>
    </row>
    <row r="2" spans="1:9" x14ac:dyDescent="0.3">
      <c r="A2" s="3" t="s">
        <v>8</v>
      </c>
      <c r="B2" s="4" t="s">
        <v>9</v>
      </c>
      <c r="C2" s="4" t="s">
        <v>10</v>
      </c>
      <c r="D2" s="4" t="s">
        <v>11</v>
      </c>
      <c r="E2" s="3">
        <v>5</v>
      </c>
      <c r="F2" s="3">
        <v>850</v>
      </c>
      <c r="G2" s="3">
        <v>4250</v>
      </c>
      <c r="H2" s="4" t="s">
        <v>59</v>
      </c>
      <c r="I2" s="5" t="s">
        <v>60</v>
      </c>
    </row>
    <row r="3" spans="1:9" ht="16.8" customHeight="1" x14ac:dyDescent="0.3">
      <c r="A3" s="3" t="s">
        <v>31</v>
      </c>
      <c r="B3" s="4" t="s">
        <v>32</v>
      </c>
      <c r="C3" s="4" t="s">
        <v>14</v>
      </c>
      <c r="D3" s="4" t="s">
        <v>33</v>
      </c>
      <c r="E3" s="3">
        <v>6</v>
      </c>
      <c r="F3" s="3">
        <v>650</v>
      </c>
      <c r="G3" s="3">
        <v>3900</v>
      </c>
      <c r="H3" s="4" t="s">
        <v>59</v>
      </c>
      <c r="I3" s="5" t="s">
        <v>60</v>
      </c>
    </row>
  </sheetData>
  <printOptions horizontalCentere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E3D3-88E8-4C35-AA13-AFBC91FD6279}">
  <dimension ref="A1:B16"/>
  <sheetViews>
    <sheetView zoomScaleNormal="100" workbookViewId="0">
      <selection activeCell="B16" sqref="B16"/>
    </sheetView>
  </sheetViews>
  <sheetFormatPr defaultRowHeight="14.4" x14ac:dyDescent="0.3"/>
  <cols>
    <col min="1" max="1" width="11.5546875" bestFit="1" customWidth="1"/>
    <col min="2" max="2" width="12.77734375" bestFit="1" customWidth="1"/>
  </cols>
  <sheetData>
    <row r="1" spans="1:2" ht="28.2" customHeight="1" x14ac:dyDescent="0.3">
      <c r="A1" s="14" t="s">
        <v>3</v>
      </c>
      <c r="B1" s="14" t="s">
        <v>67</v>
      </c>
    </row>
    <row r="2" spans="1:2" x14ac:dyDescent="0.3">
      <c r="A2" s="4" t="s">
        <v>11</v>
      </c>
      <c r="B2" s="3">
        <v>850</v>
      </c>
    </row>
    <row r="3" spans="1:2" x14ac:dyDescent="0.3">
      <c r="A3" s="4" t="s">
        <v>15</v>
      </c>
      <c r="B3" s="3">
        <v>220</v>
      </c>
    </row>
    <row r="4" spans="1:2" x14ac:dyDescent="0.3">
      <c r="A4" s="4" t="s">
        <v>19</v>
      </c>
      <c r="B4" s="3">
        <v>180</v>
      </c>
    </row>
    <row r="5" spans="1:2" x14ac:dyDescent="0.3">
      <c r="A5" s="4" t="s">
        <v>23</v>
      </c>
      <c r="B5" s="3">
        <v>25</v>
      </c>
    </row>
    <row r="6" spans="1:2" x14ac:dyDescent="0.3">
      <c r="A6" s="4" t="s">
        <v>27</v>
      </c>
      <c r="B6" s="3">
        <v>18</v>
      </c>
    </row>
    <row r="7" spans="1:2" x14ac:dyDescent="0.3">
      <c r="A7" s="4" t="s">
        <v>30</v>
      </c>
      <c r="B7" s="3">
        <v>420</v>
      </c>
    </row>
    <row r="8" spans="1:2" x14ac:dyDescent="0.3">
      <c r="A8" s="4" t="s">
        <v>33</v>
      </c>
      <c r="B8" s="3">
        <v>650</v>
      </c>
    </row>
    <row r="9" spans="1:2" x14ac:dyDescent="0.3">
      <c r="A9" s="4" t="s">
        <v>36</v>
      </c>
      <c r="B9" s="3">
        <v>75</v>
      </c>
    </row>
    <row r="10" spans="1:2" x14ac:dyDescent="0.3">
      <c r="A10" s="4" t="s">
        <v>39</v>
      </c>
      <c r="B10" s="3">
        <v>55</v>
      </c>
    </row>
    <row r="11" spans="1:2" x14ac:dyDescent="0.3">
      <c r="A11" s="4" t="s">
        <v>42</v>
      </c>
      <c r="B11" s="3">
        <v>95</v>
      </c>
    </row>
    <row r="12" spans="1:2" x14ac:dyDescent="0.3">
      <c r="A12" s="4" t="s">
        <v>45</v>
      </c>
      <c r="B12" s="3">
        <v>110</v>
      </c>
    </row>
    <row r="13" spans="1:2" x14ac:dyDescent="0.3">
      <c r="A13" s="4" t="s">
        <v>48</v>
      </c>
      <c r="B13" s="3">
        <v>280</v>
      </c>
    </row>
    <row r="14" spans="1:2" x14ac:dyDescent="0.3">
      <c r="A14" s="4" t="s">
        <v>51</v>
      </c>
      <c r="B14" s="3">
        <v>950</v>
      </c>
    </row>
    <row r="15" spans="1:2" x14ac:dyDescent="0.3">
      <c r="A15" s="4" t="s">
        <v>54</v>
      </c>
      <c r="B15" s="3">
        <v>130</v>
      </c>
    </row>
    <row r="16" spans="1:2" x14ac:dyDescent="0.3">
      <c r="A16" s="4" t="s">
        <v>57</v>
      </c>
      <c r="B16" s="3">
        <v>35</v>
      </c>
    </row>
  </sheetData>
  <printOptions horizontalCentere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DEAD-49A8-4277-BD0F-B53767E854DB}">
  <dimension ref="A1:B8"/>
  <sheetViews>
    <sheetView workbookViewId="0">
      <selection activeCell="C2" sqref="C2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1" spans="1:2" ht="41.4" customHeight="1" x14ac:dyDescent="0.3">
      <c r="A1" s="6" t="s">
        <v>71</v>
      </c>
      <c r="B1" s="6"/>
    </row>
    <row r="2" spans="1:2" x14ac:dyDescent="0.3">
      <c r="A2" s="7" t="s">
        <v>68</v>
      </c>
      <c r="B2" s="5" t="s">
        <v>70</v>
      </c>
    </row>
    <row r="3" spans="1:2" x14ac:dyDescent="0.3">
      <c r="A3" s="8" t="s">
        <v>26</v>
      </c>
      <c r="B3" s="9">
        <v>1325</v>
      </c>
    </row>
    <row r="4" spans="1:2" x14ac:dyDescent="0.3">
      <c r="A4" s="8" t="s">
        <v>18</v>
      </c>
      <c r="B4" s="9">
        <v>2960</v>
      </c>
    </row>
    <row r="5" spans="1:2" x14ac:dyDescent="0.3">
      <c r="A5" s="8" t="s">
        <v>10</v>
      </c>
      <c r="B5" s="9">
        <v>7250</v>
      </c>
    </row>
    <row r="6" spans="1:2" x14ac:dyDescent="0.3">
      <c r="A6" s="8" t="s">
        <v>14</v>
      </c>
      <c r="B6" s="9">
        <v>5120</v>
      </c>
    </row>
    <row r="7" spans="1:2" x14ac:dyDescent="0.3">
      <c r="A7" s="8" t="s">
        <v>22</v>
      </c>
      <c r="B7" s="9">
        <v>1985</v>
      </c>
    </row>
    <row r="8" spans="1:2" x14ac:dyDescent="0.3">
      <c r="A8" s="8" t="s">
        <v>69</v>
      </c>
      <c r="B8" s="9">
        <v>18640</v>
      </c>
    </row>
  </sheetData>
  <mergeCells count="1">
    <mergeCell ref="A1:B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High Value Sales</vt:lpstr>
      <vt:lpstr>Product Price List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t39264</dc:creator>
  <cp:lastModifiedBy>t39264</cp:lastModifiedBy>
  <cp:lastPrinted>2026-05-17T11:01:08Z</cp:lastPrinted>
  <dcterms:created xsi:type="dcterms:W3CDTF">2026-05-14T19:53:16Z</dcterms:created>
  <dcterms:modified xsi:type="dcterms:W3CDTF">2026-05-17T15:25:09Z</dcterms:modified>
</cp:coreProperties>
</file>