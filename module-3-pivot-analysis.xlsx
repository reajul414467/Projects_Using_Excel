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Ostad - Data Analytics\Assignments\Assignment-3\"/>
    </mc:Choice>
  </mc:AlternateContent>
  <xr:revisionPtr revIDLastSave="0" documentId="13_ncr:1_{794F8DDE-984D-48E7-8059-A5FCC7781C96}" xr6:coauthVersionLast="47" xr6:coauthVersionMax="47" xr10:uidLastSave="{00000000-0000-0000-0000-000000000000}"/>
  <bookViews>
    <workbookView xWindow="-108" yWindow="-108" windowWidth="23256" windowHeight="12456" activeTab="3" xr2:uid="{B6A24762-258E-4DEB-8500-3906FC2A6FA1}"/>
  </bookViews>
  <sheets>
    <sheet name="Scenario Summary" sheetId="4" r:id="rId1"/>
    <sheet name="Pivot Report" sheetId="6" r:id="rId2"/>
    <sheet name="Order Date Grouping" sheetId="7" r:id="rId3"/>
    <sheet name="Sales Raw Data" sheetId="1" r:id="rId4"/>
    <sheet name="Summary by using Pivotby Functi" sheetId="8" r:id="rId5"/>
    <sheet name="Goal Seek Results" sheetId="3" r:id="rId6"/>
  </sheets>
  <definedNames>
    <definedName name="Laptop">'Sales Raw Data'!$E$12:$F$12</definedName>
    <definedName name="Mouse">'Sales Raw Data'!$E$10:$F$10</definedName>
    <definedName name="Router">'Sales Raw Data'!$E$13:$F$13</definedName>
    <definedName name="Slicer_Product">#N/A</definedName>
    <definedName name="Slicer_Region">#N/A</definedName>
    <definedName name="Tablet">'Sales Raw Data'!$E$8:$F$8</definedName>
    <definedName name="Water_Filter">'Sales Raw Data'!$E$3:$F$3</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5" i="8" l="1" a="1"/>
  <c r="D5" i="8" s="1"/>
  <c r="G27" i="1"/>
  <c r="G28" i="1"/>
  <c r="G29" i="1"/>
  <c r="G30" i="1"/>
  <c r="G31" i="1"/>
  <c r="G3" i="1"/>
  <c r="G4" i="1"/>
  <c r="G5" i="1"/>
  <c r="G6" i="1"/>
  <c r="G7" i="1"/>
  <c r="G8" i="1"/>
  <c r="G9" i="1"/>
  <c r="G10" i="1"/>
  <c r="G11" i="1"/>
  <c r="G12" i="1"/>
  <c r="G13" i="1"/>
  <c r="G14" i="1"/>
  <c r="G15" i="1"/>
  <c r="G16" i="1"/>
  <c r="G17" i="1"/>
  <c r="G18" i="1"/>
  <c r="G19" i="1"/>
  <c r="G20" i="1"/>
  <c r="G21" i="1"/>
  <c r="G22" i="1"/>
  <c r="G23" i="1"/>
  <c r="G24" i="1"/>
  <c r="G25" i="1"/>
  <c r="G26" i="1"/>
  <c r="G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<sst xmlns="http://schemas.openxmlformats.org/spreadsheetml/2006/main" count="255" uniqueCount="128">
  <si>
    <t>Order Date</t>
  </si>
  <si>
    <t>Region</t>
  </si>
  <si>
    <t>Salesperson</t>
  </si>
  <si>
    <t>Product</t>
  </si>
  <si>
    <t>Quantity</t>
  </si>
  <si>
    <t>Unit Price</t>
  </si>
  <si>
    <t>Total Sales</t>
  </si>
  <si>
    <t>North</t>
  </si>
  <si>
    <t>Rahim Ahmed</t>
  </si>
  <si>
    <t>Laptop</t>
  </si>
  <si>
    <t>South</t>
  </si>
  <si>
    <t>Nusrat Jahan</t>
  </si>
  <si>
    <t>East</t>
  </si>
  <si>
    <t>Tanvir Hasan</t>
  </si>
  <si>
    <t>Printer</t>
  </si>
  <si>
    <t>West</t>
  </si>
  <si>
    <t>Sadia Karim</t>
  </si>
  <si>
    <t>Monitor</t>
  </si>
  <si>
    <t>Central</t>
  </si>
  <si>
    <t>Imran Hossain</t>
  </si>
  <si>
    <t>Farzana Islam</t>
  </si>
  <si>
    <t>Mouse</t>
  </si>
  <si>
    <t>Arif Chowdhury</t>
  </si>
  <si>
    <t>Tablet</t>
  </si>
  <si>
    <t>Mehedi Hasan</t>
  </si>
  <si>
    <t>Smartphone</t>
  </si>
  <si>
    <t>Rima Akter</t>
  </si>
  <si>
    <t>Shakib Ali</t>
  </si>
  <si>
    <t>Jannat Mim</t>
  </si>
  <si>
    <t>Rakib Hasan</t>
  </si>
  <si>
    <t>Router</t>
  </si>
  <si>
    <t>Tania Sultana</t>
  </si>
  <si>
    <t>Projector</t>
  </si>
  <si>
    <t>Mahmudul Islam</t>
  </si>
  <si>
    <t>Sohanur Rahman</t>
  </si>
  <si>
    <t>Scanner</t>
  </si>
  <si>
    <t>Priya Das</t>
  </si>
  <si>
    <t>Fahim Ahmed</t>
  </si>
  <si>
    <t>Nabila Noor</t>
  </si>
  <si>
    <t>Speaker</t>
  </si>
  <si>
    <t>Hasan Mahmud</t>
  </si>
  <si>
    <t>Sumaiya Kabir</t>
  </si>
  <si>
    <t>Smart Watch</t>
  </si>
  <si>
    <t>Omar Faruk</t>
  </si>
  <si>
    <t>Lamia Rahman</t>
  </si>
  <si>
    <t>Ashraful Islam</t>
  </si>
  <si>
    <t>Sabrina Yasmin</t>
  </si>
  <si>
    <t>Water Filter</t>
  </si>
  <si>
    <t>Adnan Karim</t>
  </si>
  <si>
    <t>Grand Total</t>
  </si>
  <si>
    <t>Sum of Total Sales</t>
  </si>
  <si>
    <t>Rashedul Islam</t>
  </si>
  <si>
    <t>Mitu Akter</t>
  </si>
  <si>
    <t>Kamrul Hasan</t>
  </si>
  <si>
    <t>Tasnia Rahman</t>
  </si>
  <si>
    <t>Fahad Hossain</t>
  </si>
  <si>
    <t>Description</t>
  </si>
  <si>
    <t>Value</t>
  </si>
  <si>
    <t>Target Sales</t>
  </si>
  <si>
    <t xml:space="preserve">Changed Quantity </t>
  </si>
  <si>
    <t>Original Quantity</t>
  </si>
  <si>
    <t>5.88 = 6</t>
  </si>
  <si>
    <t>$E$3</t>
  </si>
  <si>
    <t>$E$4</t>
  </si>
  <si>
    <t>$E$5</t>
  </si>
  <si>
    <t>$E$6</t>
  </si>
  <si>
    <t>$E$7</t>
  </si>
  <si>
    <t>$E$8</t>
  </si>
  <si>
    <t>$E$9</t>
  </si>
  <si>
    <t>$E$10</t>
  </si>
  <si>
    <t>$E$11</t>
  </si>
  <si>
    <t>$E$12</t>
  </si>
  <si>
    <t>$E$13</t>
  </si>
  <si>
    <t>$F$3</t>
  </si>
  <si>
    <t>$F$4</t>
  </si>
  <si>
    <t>$F$5</t>
  </si>
  <si>
    <t>$F$6</t>
  </si>
  <si>
    <t>$F$7</t>
  </si>
  <si>
    <t>$F$8</t>
  </si>
  <si>
    <t>$F$9</t>
  </si>
  <si>
    <t>$F$10</t>
  </si>
  <si>
    <t>$F$11</t>
  </si>
  <si>
    <t>$F$12</t>
  </si>
  <si>
    <t>$F$13</t>
  </si>
  <si>
    <t>$G$3</t>
  </si>
  <si>
    <t>Low Sales Scenerio</t>
  </si>
  <si>
    <t>Created by amjad on 5/25/2026
Modified by amjad on 5/25/2026</t>
  </si>
  <si>
    <t>Medium Sale Scenerio</t>
  </si>
  <si>
    <t>Created by amjad on 5/25/2026</t>
  </si>
  <si>
    <t>High Sale Scenerio</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</si>
  <si>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</si>
  <si>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</si>
  <si>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</si>
  <si>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</si>
  <si>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</si>
  <si>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</si>
  <si>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</si>
  <si>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Values</t>
  </si>
  <si>
    <t>Total Sum of Total Sales</t>
  </si>
  <si>
    <t>Row Labels</t>
  </si>
  <si>
    <t>Column Labels</t>
  </si>
  <si>
    <t>Total Sum of Average sales per product</t>
  </si>
  <si>
    <t>Sum of Average sales per product</t>
  </si>
  <si>
    <t>Total Sum of Unit Price</t>
  </si>
  <si>
    <t>Sum of Unit Price</t>
  </si>
  <si>
    <t>Central Total</t>
  </si>
  <si>
    <t>East Total</t>
  </si>
  <si>
    <t>North Total</t>
  </si>
  <si>
    <t>South Total</t>
  </si>
  <si>
    <t>West Total</t>
  </si>
  <si>
    <t>Months (Order Date)</t>
  </si>
  <si>
    <t>Feb</t>
  </si>
  <si>
    <t>Mar</t>
  </si>
  <si>
    <t>Apr</t>
  </si>
  <si>
    <t>May</t>
  </si>
  <si>
    <t>Jun</t>
  </si>
  <si>
    <t>Jul</t>
  </si>
  <si>
    <t>Jan</t>
  </si>
  <si>
    <t>Years (Order Date)</t>
  </si>
  <si>
    <t>2026</t>
  </si>
  <si>
    <t>Feb Total</t>
  </si>
  <si>
    <t>Mar Total</t>
  </si>
  <si>
    <t>Apr Total</t>
  </si>
  <si>
    <t>May Total</t>
  </si>
  <si>
    <t>Jun Total</t>
  </si>
  <si>
    <t>Jul Total</t>
  </si>
  <si>
    <t>2026 Total</t>
  </si>
  <si>
    <t>Jan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</si>
</sst>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b/>
      <sz val="12"/>
      <color indexed="9"/>
      <name val="Aptos Narrow"/>
      <family val="2"/>
      <scheme val="minor"/>
    </font>
    <font>
      <b/>
      <sz val="11"/>
      <color indexed="8"/>
      <name val="Aptos Narrow"/>
      <family val="2"/>
      <scheme val="minor"/>
    </font>
    <font>
      <b/>
      <sz val="11"/>
      <color indexed="18"/>
      <name val="Aptos Narrow"/>
      <family val="2"/>
      <scheme val="minor"/>
    </font>
    <font>
      <sz val="10"/>
      <color indexed="9"/>
      <name val="Aptos Narrow"/>
      <family val="2"/>
      <scheme val="minor"/>
    </font>
    <font>
      <sz val="8"/>
      <color theme="1"/>
      <name val="Aptos Narrow"/>
      <family val="2"/>
      <scheme val="minor"/>
    </font>
  </fonts>
  <fills count="7">
    <fill>
      <patternFill patternType="none"/>
    </fill>
    <fill>
      <patternFill patternType="gray125"/>
    </fill>
    <fill>
      <patternFill patternType="solid">
        <fgColor theme="9" tint="0.39997558519241921"/>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7" tint="0.79998168889431442"/>
        <bgColor indexed="64"/>
      </patternFill>
    </fill>
  </fills>
  <borders count="5">
    <border>
      <left/>
      <right/>
      <top/>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29">
    <xf numFmtId="0" fontId="0" fillId="0" borderId="0" xfId="0"/>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xf>
    <xf numFmtId="14" fontId="0" fillId="0" borderId="0" xfId="0" applyNumberFormat="1" applyAlignment="1">
      <alignment horizontal="center" vertical="center" wrapText="1"/>
    </xf>
    <xf numFmtId="0" fontId="0" fillId="0" borderId="0" xfId="0" applyAlignment="1">
      <alignment horizontal="center" vertical="center"/>
    </xf>
    <xf numFmtId="0" fontId="1" fillId="2" borderId="0" xfId="0" applyFont="1" applyFill="1" applyAlignment="1">
      <alignment horizontal="center" vertical="center" wrapText="1"/>
    </xf>
    <xf numFmtId="0" fontId="1" fillId="2" borderId="0" xfId="0" applyFont="1" applyFill="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0" fillId="0" borderId="0" xfId="0" pivotButton="1"/>
    <xf numFmtId="0" fontId="0" fillId="2" borderId="0" xfId="0" applyFill="1"/>
    <xf numFmtId="0" fontId="0" fillId="2" borderId="0" xfId="0" applyFill="1" applyAlignment="1">
      <alignment horizontal="center"/>
    </xf>
    <xf numFmtId="0" fontId="0" fillId="0" borderId="2" xfId="0" applyBorder="1"/>
    <xf numFmtId="0" fontId="2" fillId="3" borderId="3" xfId="0" applyFont="1" applyFill="1" applyBorder="1" applyAlignment="1">
      <alignment horizontal="left"/>
    </xf>
    <xf numFmtId="0" fontId="2" fillId="3" borderId="1" xfId="0" applyFont="1" applyFill="1" applyBorder="1" applyAlignment="1">
      <alignment horizontal="left"/>
    </xf>
    <xf numFmtId="0" fontId="0" fillId="0" borderId="4" xfId="0" applyBorder="1"/>
    <xf numFmtId="0" fontId="3" fillId="4" borderId="0" xfId="0" applyFont="1" applyFill="1" applyAlignment="1">
      <alignment horizontal="left"/>
    </xf>
    <xf numFmtId="0" fontId="4" fillId="4" borderId="4" xfId="0" applyFont="1" applyFill="1" applyBorder="1" applyAlignment="1">
      <alignment horizontal="left"/>
    </xf>
    <xf numFmtId="0" fontId="3" fillId="4" borderId="2" xfId="0" applyFont="1" applyFill="1" applyBorder="1" applyAlignment="1">
      <alignment horizontal="left"/>
    </xf>
    <xf numFmtId="0" fontId="5" fillId="3" borderId="1" xfId="0" applyFont="1" applyFill="1" applyBorder="1" applyAlignment="1">
      <alignment horizontal="right"/>
    </xf>
    <xf numFmtId="0" fontId="5" fillId="3" borderId="3" xfId="0" applyFont="1" applyFill="1" applyBorder="1" applyAlignment="1">
      <alignment horizontal="right"/>
    </xf>
    <xf numFmtId="0" fontId="0" fillId="5" borderId="0" xfId="0" applyFill="1"/>
    <xf numFmtId="0" fontId="6" fillId="0" borderId="0" xfId="0" applyFont="1" applyAlignment="1">
      <alignment vertical="top" wrapText="1"/>
    </xf>
    <xf numFmtId="0" fontId="0" fillId="0" borderId="0" xfId="0" applyAlignment="1">
      <alignment horizontal="left"/>
    </xf>
    <xf numFmtId="14" fontId="0" fillId="0" borderId="0" xfId="0" applyNumberFormat="1"/>
    <xf numFmtId="0" fontId="0" fillId="0" borderId="0" xfId="0" applyAlignment="1">
      <alignment horizontal="left" indent="1"/>
    </xf>
    <xf numFmtId="2" fontId="0" fillId="6" borderId="0" xfId="0" applyNumberFormat="1" applyFill="1" applyAlignment="1">
      <alignment horizontal="center" vertical="center" wrapText="1"/>
    </xf>
    <xf numFmtId="0" fontId="0" fillId="6" borderId="0" xfId="0"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6</xdr:col>
      <xdr:colOff>1505925</xdr:colOff>
      <xdr:row>3</xdr:row>
      <xdr:rowOff>109161</xdr:rowOff>
    </xdr:from>
    <xdr:to>
      <xdr:col>7</xdr:col>
      <xdr:colOff>1332259</xdr:colOff>
      <xdr:row>17</xdr:row>
      <xdr:rowOff>85459</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E0A0A8E7-A622-D5E7-5048-A359EF179AB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400599" y="66737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1488204</xdr:colOff>
      <xdr:row>3</xdr:row>
      <xdr:rowOff>109160</xdr:rowOff>
    </xdr:from>
    <xdr:to>
      <xdr:col>6</xdr:col>
      <xdr:colOff>1314539</xdr:colOff>
      <xdr:row>17</xdr:row>
      <xdr:rowOff>85458</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A63F1A50-3E35-21E9-0406-0DCF1AC9326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380413" y="667369"/>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jad" refreshedDate="46167.607887847225" createdVersion="8" refreshedVersion="8" minRefreshableVersion="3" recordCount="30" xr:uid="{F1F8B040-ACE5-4F88-8CEE-89BEA415BFE5}">
  <cacheSource type="worksheet">
    <worksheetSource ref="A1:G31" sheet="Sales Raw Data"/>
  </cacheSource>
  <cacheFields count="10">
    <cacheField name="Order Date" numFmtId="14">
      <sharedItems containsSemiMixedTypes="0" containsNonDate="0" containsDate="1" containsString="0" minDate="2026-01-05T00:00:00" maxDate="2026-07-27T00:00:00" count="30">
        <d v="2026-01-05T00:00:00"/>
        <d v="2026-01-12T00:00:00"/>
        <d v="2026-01-18T00:00:00"/>
        <d v="2026-02-03T00:00:00"/>
        <d v="2026-02-10T00:00:00"/>
        <d v="2026-02-14T00:00:00"/>
        <d v="2026-02-22T00:00:00"/>
        <d v="2026-03-02T00:00:00"/>
        <d v="2026-03-08T00:00:00"/>
        <d v="2026-03-15T00:00:00"/>
        <d v="2026-03-21T00:00:00"/>
        <d v="2026-04-04T00:00:00"/>
        <d v="2026-04-09T00:00:00"/>
        <d v="2026-04-13T00:00:00"/>
        <d v="2026-04-20T00:00:00"/>
        <d v="2026-05-01T00:00:00"/>
        <d v="2026-05-07T00:00:00"/>
        <d v="2026-05-12T00:00:00"/>
        <d v="2026-05-18T00:00:00"/>
        <d v="2026-05-24T00:00:00"/>
        <d v="2026-06-03T00:00:00"/>
        <d v="2026-06-10T00:00:00"/>
        <d v="2026-06-15T00:00:00"/>
        <d v="2026-06-21T00:00:00"/>
        <d v="2026-06-28T00:00:00"/>
        <d v="2026-07-03T00:00:00"/>
        <d v="2026-07-08T00:00:00"/>
        <d v="2026-07-14T00:00:00"/>
        <d v="2026-07-19T00:00:00"/>
        <d v="2026-07-26T00:00:00"/>
      </sharedItems>
      <fieldGroup par="9"/>
    </cacheField>
    <cacheField name="Region" numFmtId="0">
      <sharedItems count="5">
        <s v="North"/>
        <s v="South"/>
        <s v="East"/>
        <s v="West"/>
        <s v="Central"/>
      </sharedItems>
    </cacheField>
    <cacheField name="Salesperson" numFmtId="0">
      <sharedItems/>
    </cacheField>
    <cacheField name="Product" numFmtId="0">
      <sharedItems count="12">
        <s v="Laptop"/>
        <s v="Water Filter"/>
        <s v="Router"/>
        <s v="Mouse"/>
        <s v="Tablet"/>
        <s v="Projector"/>
        <s v="Scanner"/>
        <s v="Speaker"/>
        <s v="Smart Watch"/>
        <s v="Smartphone"/>
        <s v="Monitor"/>
        <s v="Printer"/>
      </sharedItems>
    </cacheField>
    <cacheField name="Quantity" numFmtId="0">
      <sharedItems containsSemiMixedTypes="0" containsString="0" containsNumber="1" minValue="1" maxValue="20"/>
    </cacheField>
    <cacheField name="Unit Price" numFmtId="0">
      <sharedItems containsSemiMixedTypes="0" containsString="0" containsNumber="1" containsInteger="1" minValue="12" maxValue="980"/>
    </cacheField>
    <cacheField name="Total Sales" numFmtId="0">
      <sharedItems containsSemiMixedTypes="0" containsString="0" containsNumber="1" containsInteger="1" minValue="240" maxValue="5000"/>
    </cacheField>
    <cacheField name="Average sales per product" numFmtId="0" formula="'Total Sales'/Quantity" databaseField="0"/>
    <cacheField name="Months (Order Date)" numFmtId="0" databaseField="0">
      <fieldGroup base="0">
        <rangePr groupBy="months" startDate="2026-01-05T00:00:00" endDate="2026-07-27T00:00:00"/>
        <groupItems count="14">
          <s v="&lt;1/5/2026"/>
          <s v="Jan"/>
          <s v="Feb"/>
          <s v="Mar"/>
          <s v="Apr"/>
          <s v="May"/>
          <s v="Jun"/>
          <s v="Jul"/>
          <s v="Aug"/>
          <s v="Sep"/>
          <s v="Oct"/>
          <s v="Nov"/>
          <s v="Dec"/>
          <s v="&gt;7/27/2026"/>
        </groupItems>
      </fieldGroup>
    </cacheField>
    <cacheField name="Years (Order Date)" numFmtId="0" databaseField="0">
      <fieldGroup base="0">
        <rangePr groupBy="years" startDate="2026-01-05T00:00:00" endDate="2026-07-27T00:00:00"/>
        <groupItems count="3">
          <s v="&lt;1/5/2026"/>
          <s v="2026"/>
          <s v="&gt;7/27/2026"/>
        </groupItems>
      </fieldGroup>
    </cacheField>
  </cacheFields>
  <extLst>
    <ext xmlns:x14="http://schemas.microsoft.com/office/spreadsheetml/2009/9/main" uri="{725AE2AE-9491-48be-B2B4-4EB974FC3084}">
      <x14:pivotCacheDefinition pivotCacheId="8842828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s v="Rahim Ahmed"/>
    <x v="0"/>
    <n v="5.8823529411764701"/>
    <n v="850"/>
    <n v="5000"/>
  </r>
  <r>
    <x v="1"/>
    <x v="1"/>
    <s v="Nusrat Jahan"/>
    <x v="1"/>
    <n v="5"/>
    <n v="120"/>
    <n v="600"/>
  </r>
  <r>
    <x v="2"/>
    <x v="2"/>
    <s v="Tanvir Hasan"/>
    <x v="0"/>
    <n v="2"/>
    <n v="210"/>
    <n v="420"/>
  </r>
  <r>
    <x v="3"/>
    <x v="3"/>
    <s v="Sadia Karim"/>
    <x v="0"/>
    <n v="4"/>
    <n v="180"/>
    <n v="720"/>
  </r>
  <r>
    <x v="4"/>
    <x v="4"/>
    <s v="Imran Hossain"/>
    <x v="2"/>
    <n v="10"/>
    <n v="25"/>
    <n v="250"/>
  </r>
  <r>
    <x v="5"/>
    <x v="0"/>
    <s v="Farzana Islam"/>
    <x v="3"/>
    <n v="15"/>
    <n v="18"/>
    <n v="270"/>
  </r>
  <r>
    <x v="6"/>
    <x v="1"/>
    <s v="Arif Chowdhury"/>
    <x v="4"/>
    <n v="6"/>
    <n v="320"/>
    <n v="1920"/>
  </r>
  <r>
    <x v="7"/>
    <x v="2"/>
    <s v="Mehedi Hasan"/>
    <x v="2"/>
    <n v="8"/>
    <n v="540"/>
    <n v="4320"/>
  </r>
  <r>
    <x v="8"/>
    <x v="3"/>
    <s v="Rima Akter"/>
    <x v="3"/>
    <n v="12"/>
    <n v="35"/>
    <n v="420"/>
  </r>
  <r>
    <x v="9"/>
    <x v="4"/>
    <s v="Shakib Ali"/>
    <x v="2"/>
    <n v="7"/>
    <n v="95"/>
    <n v="665"/>
  </r>
  <r>
    <x v="10"/>
    <x v="0"/>
    <s v="Jannat Mim"/>
    <x v="0"/>
    <n v="9"/>
    <n v="60"/>
    <n v="540"/>
  </r>
  <r>
    <x v="11"/>
    <x v="1"/>
    <s v="Rakib Hasan"/>
    <x v="2"/>
    <n v="5"/>
    <n v="85"/>
    <n v="425"/>
  </r>
  <r>
    <x v="12"/>
    <x v="2"/>
    <s v="Tania Sultana"/>
    <x v="5"/>
    <n v="2"/>
    <n v="450"/>
    <n v="900"/>
  </r>
  <r>
    <x v="13"/>
    <x v="3"/>
    <s v="Mahmudul Islam"/>
    <x v="1"/>
    <n v="20"/>
    <n v="12"/>
    <n v="240"/>
  </r>
  <r>
    <x v="14"/>
    <x v="4"/>
    <s v="Sohanur Rahman"/>
    <x v="6"/>
    <n v="3"/>
    <n v="175"/>
    <n v="525"/>
  </r>
  <r>
    <x v="15"/>
    <x v="0"/>
    <s v="Priya Das"/>
    <x v="3"/>
    <n v="4"/>
    <n v="240"/>
    <n v="960"/>
  </r>
  <r>
    <x v="16"/>
    <x v="1"/>
    <s v="Fahim Ahmed"/>
    <x v="4"/>
    <n v="11"/>
    <n v="40"/>
    <n v="440"/>
  </r>
  <r>
    <x v="17"/>
    <x v="2"/>
    <s v="Nabila Noor"/>
    <x v="7"/>
    <n v="6"/>
    <n v="75"/>
    <n v="450"/>
  </r>
  <r>
    <x v="18"/>
    <x v="3"/>
    <s v="Hasan Mahmud"/>
    <x v="4"/>
    <n v="5"/>
    <n v="110"/>
    <n v="550"/>
  </r>
  <r>
    <x v="19"/>
    <x v="4"/>
    <s v="Sumaiya Kabir"/>
    <x v="8"/>
    <n v="7"/>
    <n v="160"/>
    <n v="1120"/>
  </r>
  <r>
    <x v="20"/>
    <x v="0"/>
    <s v="Omar Faruk"/>
    <x v="5"/>
    <n v="2"/>
    <n v="680"/>
    <n v="1360"/>
  </r>
  <r>
    <x v="21"/>
    <x v="1"/>
    <s v="Lamia Rahman"/>
    <x v="2"/>
    <n v="4"/>
    <n v="130"/>
    <n v="520"/>
  </r>
  <r>
    <x v="22"/>
    <x v="2"/>
    <s v="Ashraful Islam"/>
    <x v="0"/>
    <n v="3"/>
    <n v="220"/>
    <n v="660"/>
  </r>
  <r>
    <x v="23"/>
    <x v="3"/>
    <s v="Sabrina Yasmin"/>
    <x v="3"/>
    <n v="5"/>
    <n v="145"/>
    <n v="725"/>
  </r>
  <r>
    <x v="24"/>
    <x v="4"/>
    <s v="Adnan Karim"/>
    <x v="0"/>
    <n v="1"/>
    <n v="980"/>
    <n v="980"/>
  </r>
  <r>
    <x v="25"/>
    <x v="0"/>
    <s v="Rashedul Islam"/>
    <x v="0"/>
    <n v="2"/>
    <n v="850"/>
    <n v="1700"/>
  </r>
  <r>
    <x v="26"/>
    <x v="1"/>
    <s v="Mitu Akter"/>
    <x v="9"/>
    <n v="5"/>
    <n v="540"/>
    <n v="2700"/>
  </r>
  <r>
    <x v="27"/>
    <x v="2"/>
    <s v="Kamrul Hasan"/>
    <x v="10"/>
    <n v="3"/>
    <n v="180"/>
    <n v="540"/>
  </r>
  <r>
    <x v="28"/>
    <x v="3"/>
    <s v="Tasnia Rahman"/>
    <x v="11"/>
    <n v="4"/>
    <n v="210"/>
    <n v="840"/>
  </r>
  <r>
    <x v="29"/>
    <x v="4"/>
    <s v="Fahad Hossain"/>
    <x v="4"/>
    <n v="6"/>
    <n v="320"/>
    <n v="19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09D940-9AEE-4E97-B66E-424328192AFC}"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AE48" firstHeaderRow="1" firstDataRow="3" firstDataCol="4"/>
  <pivotFields count="10">
    <pivotField axis="axisRow" compact="0" numFmtId="14" outline="0" subtotalTop="0"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compact="0" outline="0" subtotalTop="0" showAll="0">
      <items count="6">
        <item x="4"/>
        <item x="2"/>
        <item x="0"/>
        <item x="1"/>
        <item x="3"/>
        <item t="default"/>
      </items>
    </pivotField>
    <pivotField compact="0" outline="0" subtotalTop="0" showAll="0"/>
    <pivotField axis="axisCol" compact="0" outline="0" subtotalTop="0" showAll="0">
      <items count="13">
        <item h="1" x="0"/>
        <item h="1" x="10"/>
        <item h="1" x="3"/>
        <item h="1" x="11"/>
        <item x="5"/>
        <item x="2"/>
        <item x="6"/>
        <item x="8"/>
        <item x="9"/>
        <item x="7"/>
        <item x="4"/>
        <item x="1"/>
        <item t="default"/>
      </items>
    </pivotField>
    <pivotField compact="0" outline="0" subtotalTop="0" showAll="0"/>
    <pivotField dataField="1" compact="0" outline="0" subtotalTop="0" showAll="0"/>
    <pivotField dataField="1" compact="0" outline="0" subtotalTop="0" showAll="0"/>
    <pivotField dataField="1" compact="0" outline="0" subtotalTop="0" dragToRow="0" dragToCol="0" dragToPage="0" showAll="0" defaultSubtotal="0"/>
    <pivotField axis="axisRow" compact="0" outline="0" subtotalTop="0" showAll="0">
      <items count="15">
        <item x="0"/>
        <item x="1"/>
        <item x="2"/>
        <item x="3"/>
        <item x="4"/>
        <item x="5"/>
        <item x="6"/>
        <item x="7"/>
        <item x="8"/>
        <item x="9"/>
        <item x="10"/>
        <item x="11"/>
        <item x="12"/>
        <item x="13"/>
        <item t="default"/>
      </items>
    </pivotField>
    <pivotField axis="axisRow" compact="0" outline="0" subtotalTop="0" showAll="0">
      <items count="4">
        <item x="0"/>
        <item x="1"/>
        <item x="2"/>
        <item t="default"/>
      </items>
    </pivotField>
  </pivotFields>
  <rowFields count="4">
    <field x="1"/>
    <field x="9"/>
    <field x="8"/>
    <field x="0"/>
  </rowFields>
  <rowItems count="45">
    <i>
      <x/>
      <x v="1"/>
      <x v="2"/>
      <x v="4"/>
    </i>
    <i t="default" r="2">
      <x v="2"/>
    </i>
    <i r="2">
      <x v="3"/>
      <x v="9"/>
    </i>
    <i t="default" r="2">
      <x v="3"/>
    </i>
    <i r="2">
      <x v="4"/>
      <x v="14"/>
    </i>
    <i t="default" r="2">
      <x v="4"/>
    </i>
    <i r="2">
      <x v="5"/>
      <x v="19"/>
    </i>
    <i t="default" r="2">
      <x v="5"/>
    </i>
    <i r="2">
      <x v="7"/>
      <x v="29"/>
    </i>
    <i t="default" r="2">
      <x v="7"/>
    </i>
    <i t="default" r="1">
      <x v="1"/>
    </i>
    <i t="default">
      <x/>
    </i>
    <i>
      <x v="1"/>
      <x v="1"/>
      <x v="3"/>
      <x v="7"/>
    </i>
    <i t="default" r="2">
      <x v="3"/>
    </i>
    <i r="2">
      <x v="4"/>
      <x v="12"/>
    </i>
    <i t="default" r="2">
      <x v="4"/>
    </i>
    <i r="2">
      <x v="5"/>
      <x v="17"/>
    </i>
    <i t="default" r="2">
      <x v="5"/>
    </i>
    <i t="default" r="1">
      <x v="1"/>
    </i>
    <i t="default">
      <x v="1"/>
    </i>
    <i>
      <x v="2"/>
      <x v="1"/>
      <x v="6"/>
      <x v="20"/>
    </i>
    <i t="default" r="2">
      <x v="6"/>
    </i>
    <i t="default" r="1">
      <x v="1"/>
    </i>
    <i t="default">
      <x v="2"/>
    </i>
    <i>
      <x v="3"/>
      <x v="1"/>
      <x v="1"/>
      <x v="1"/>
    </i>
    <i t="default" r="2">
      <x v="1"/>
    </i>
    <i r="2">
      <x v="2"/>
      <x v="6"/>
    </i>
    <i t="default" r="2">
      <x v="2"/>
    </i>
    <i r="2">
      <x v="4"/>
      <x v="11"/>
    </i>
    <i t="default" r="2">
      <x v="4"/>
    </i>
    <i r="2">
      <x v="5"/>
      <x v="16"/>
    </i>
    <i t="default" r="2">
      <x v="5"/>
    </i>
    <i r="2">
      <x v="6"/>
      <x v="21"/>
    </i>
    <i t="default" r="2">
      <x v="6"/>
    </i>
    <i r="2">
      <x v="7"/>
      <x v="26"/>
    </i>
    <i t="default" r="2">
      <x v="7"/>
    </i>
    <i t="default" r="1">
      <x v="1"/>
    </i>
    <i t="default">
      <x v="3"/>
    </i>
    <i>
      <x v="4"/>
      <x v="1"/>
      <x v="4"/>
      <x v="13"/>
    </i>
    <i t="default" r="2">
      <x v="4"/>
    </i>
    <i r="2">
      <x v="5"/>
      <x v="18"/>
    </i>
    <i t="default" r="2">
      <x v="5"/>
    </i>
    <i t="default" r="1">
      <x v="1"/>
    </i>
    <i t="default">
      <x v="4"/>
    </i>
    <i t="grand">
      <x/>
    </i>
  </rowItems>
  <colFields count="2">
    <field x="3"/>
    <field x="-2"/>
  </colFields>
  <colItems count="27">
    <i>
      <x v="4"/>
      <x/>
    </i>
    <i r="1" i="1">
      <x v="1"/>
    </i>
    <i r="1" i="2">
      <x v="2"/>
    </i>
    <i>
      <x v="5"/>
      <x/>
    </i>
    <i r="1" i="1">
      <x v="1"/>
    </i>
    <i r="1" i="2">
      <x v="2"/>
    </i>
    <i>
      <x v="6"/>
      <x/>
    </i>
    <i r="1" i="1">
      <x v="1"/>
    </i>
    <i r="1" i="2">
      <x v="2"/>
    </i>
    <i>
      <x v="7"/>
      <x/>
    </i>
    <i r="1" i="1">
      <x v="1"/>
    </i>
    <i r="1" i="2">
      <x v="2"/>
    </i>
    <i>
      <x v="8"/>
      <x/>
    </i>
    <i r="1" i="1">
      <x v="1"/>
    </i>
    <i r="1" i="2">
      <x v="2"/>
    </i>
    <i>
      <x v="9"/>
      <x/>
    </i>
    <i r="1" i="1">
      <x v="1"/>
    </i>
    <i r="1" i="2">
      <x v="2"/>
    </i>
    <i>
      <x v="10"/>
      <x/>
    </i>
    <i r="1" i="1">
      <x v="1"/>
    </i>
    <i r="1" i="2">
      <x v="2"/>
    </i>
    <i>
      <x v="11"/>
      <x/>
    </i>
    <i r="1" i="1">
      <x v="1"/>
    </i>
    <i r="1" i="2">
      <x v="2"/>
    </i>
    <i t="grand">
      <x/>
    </i>
    <i t="grand" i="1">
      <x/>
    </i>
    <i t="grand" i="2">
      <x/>
    </i>
  </colItems>
  <dataFields count="3">
    <dataField name="Sum of Total Sales" fld="6" baseField="0" baseItem="0"/>
    <dataField name="Sum of Average sales per product" fld="7" baseField="0" baseItem="0"/>
    <dataField name="Sum of Unit Pric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A54DF5-71D6-4884-A01A-AC7531EDEFD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3" firstHeaderRow="1" firstDataRow="2" firstDataCol="1"/>
  <pivotFields count="10">
    <pivotField numFmtId="1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Col" showAll="0">
      <items count="6">
        <item x="4"/>
        <item x="2"/>
        <item x="0"/>
        <item x="1"/>
        <item x="3"/>
        <item t="default"/>
      </items>
    </pivotField>
    <pivotField showAll="0"/>
    <pivotField showAll="0"/>
    <pivotField showAll="0"/>
    <pivotField showAll="0"/>
    <pivotField dataField="1" showAll="0"/>
    <pivotField dragToRow="0" dragToCol="0" dragToPage="0" showAll="0" defaultSubtotal="0"/>
    <pivotField axis="axisRow"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axis="axisRow" showAll="0">
      <items count="4">
        <item x="0"/>
        <item x="1"/>
        <item x="2"/>
        <item t="default"/>
      </items>
    </pivotField>
  </pivotFields>
  <rowFields count="2">
    <field x="9"/>
    <field x="8"/>
  </rowFields>
  <rowItems count="9">
    <i>
      <x v="1"/>
    </i>
    <i r="1">
      <x v="7"/>
    </i>
    <i r="1">
      <x v="1"/>
    </i>
    <i r="1">
      <x v="3"/>
    </i>
    <i r="1">
      <x v="6"/>
    </i>
    <i r="1">
      <x v="5"/>
    </i>
    <i r="1">
      <x v="2"/>
    </i>
    <i r="1">
      <x v="4"/>
    </i>
    <i t="grand">
      <x/>
    </i>
  </rowItems>
  <colFields count="1">
    <field x="1"/>
  </colFields>
  <colItems count="6">
    <i>
      <x/>
    </i>
    <i>
      <x v="1"/>
    </i>
    <i>
      <x v="2"/>
    </i>
    <i>
      <x v="3"/>
    </i>
    <i>
      <x v="4"/>
    </i>
    <i t="grand">
      <x/>
    </i>
  </colItems>
  <dataFields count="1">
    <dataField name="Sum of Total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D8E1D68-6974-4EDE-997A-660F07C264AD}" sourceName="Region">
  <pivotTables>
    <pivotTable tabId="6" name="PivotTable3"/>
  </pivotTables>
  <data>
    <tabular pivotCacheId="884282864">
      <items count="5">
        <i x="4" s="1"/>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91DF2BE-1B78-4DEA-AD0A-40FB5823A449}" sourceName="Product">
  <pivotTables>
    <pivotTable tabId="6" name="PivotTable3"/>
  </pivotTables>
  <data>
    <tabular pivotCacheId="884282864">
      <items count="12">
        <i x="0"/>
        <i x="10"/>
        <i x="3"/>
        <i x="11"/>
        <i x="5" s="1"/>
        <i x="2" s="1"/>
        <i x="6" s="1"/>
        <i x="8" s="1"/>
        <i x="9" s="1"/>
        <i x="7"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87122D7-03AE-4F33-BA1C-AF0A8E02CFA2}" cache="Slicer_Region" caption="Region" rowHeight="247650"/>
  <slicer name="Product" xr10:uid="{5BF3C888-ABA9-4543-B803-4D45541B0BF0}" cache="Slicer_Product" caption="Product" startItem="4"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2C1FC-CDD0-4B84-BE60-E721F84EAAB1}">
  <sheetPr>
    <outlinePr summaryBelow="0"/>
  </sheetPr>
  <dimension ref="B1:G32"/>
  <sheetViews>
    <sheetView showGridLines="0" workbookViewId="0">
      <selection activeCell="K21" sqref="K21"/>
    </sheetView>
  </sheetViews>
  <sheetFormatPr defaultRowHeight="14.4" outlineLevelRow="1" outlineLevelCol="1" x14ac:dyDescent="0.3"/>
  <cols>
    <col min="3" max="3" width="6" bestFit="1" customWidth="1"/>
    <col min="4" max="7" width="17.88671875" bestFit="1" customWidth="1" outlineLevel="1"/>
  </cols>
  <sheetData>
    <row r="1" spans="2:7" ht="15" thickBot="1" x14ac:dyDescent="0.35"/>
    <row r="2" spans="2:7" ht="15.6" x14ac:dyDescent="0.3">
      <c r="B2" s="15" t="s">
        <v>90</v>
      </c>
      <c r="C2" s="15"/>
      <c r="D2" s="20"/>
      <c r="E2" s="20"/>
      <c r="F2" s="20"/>
      <c r="G2" s="20"/>
    </row>
    <row r="3" spans="2:7" ht="15.6" collapsed="1" x14ac:dyDescent="0.3">
      <c r="B3" s="14"/>
      <c r="C3" s="14"/>
      <c r="D3" s="21" t="s">
        <v>92</v>
      </c>
      <c r="E3" s="21" t="s">
        <v>85</v>
      </c>
      <c r="F3" s="21" t="s">
        <v>87</v>
      </c>
      <c r="G3" s="21" t="s">
        <v>89</v>
      </c>
    </row>
    <row r="4" spans="2:7" ht="43.2" hidden="1" outlineLevel="1" x14ac:dyDescent="0.3">
      <c r="B4" s="17"/>
      <c r="C4" s="17"/>
      <c r="E4" s="23" t="s">
        <v>86</v>
      </c>
      <c r="F4" s="23" t="s">
        <v>88</v>
      </c>
      <c r="G4" s="23" t="s">
        <v>88</v>
      </c>
    </row>
    <row r="5" spans="2:7" x14ac:dyDescent="0.3">
      <c r="B5" s="18" t="s">
        <v>91</v>
      </c>
      <c r="C5" s="18"/>
      <c r="D5" s="16"/>
      <c r="E5" s="16"/>
      <c r="F5" s="16"/>
      <c r="G5" s="16"/>
    </row>
    <row r="6" spans="2:7" outlineLevel="1" x14ac:dyDescent="0.3">
      <c r="B6" s="17"/>
      <c r="C6" s="17" t="s">
        <v>62</v>
      </c>
      <c r="D6">
        <v>5</v>
      </c>
      <c r="E6" s="22">
        <v>5</v>
      </c>
      <c r="F6" s="22">
        <v>7</v>
      </c>
      <c r="G6" s="22">
        <v>15</v>
      </c>
    </row>
    <row r="7" spans="2:7" outlineLevel="1" x14ac:dyDescent="0.3">
      <c r="B7" s="17"/>
      <c r="C7" s="17" t="s">
        <v>63</v>
      </c>
      <c r="D7">
        <v>2</v>
      </c>
      <c r="E7" s="22">
        <v>2</v>
      </c>
      <c r="F7" s="22">
        <v>4</v>
      </c>
      <c r="G7" s="22">
        <v>10</v>
      </c>
    </row>
    <row r="8" spans="2:7" outlineLevel="1" x14ac:dyDescent="0.3">
      <c r="B8" s="17"/>
      <c r="C8" s="17" t="s">
        <v>64</v>
      </c>
      <c r="D8">
        <v>4</v>
      </c>
      <c r="E8" s="22">
        <v>4</v>
      </c>
      <c r="F8" s="22">
        <v>7</v>
      </c>
      <c r="G8" s="22">
        <v>17</v>
      </c>
    </row>
    <row r="9" spans="2:7" outlineLevel="1" x14ac:dyDescent="0.3">
      <c r="B9" s="17"/>
      <c r="C9" s="17" t="s">
        <v>65</v>
      </c>
      <c r="D9">
        <v>10</v>
      </c>
      <c r="E9" s="22">
        <v>10</v>
      </c>
      <c r="F9" s="22">
        <v>15</v>
      </c>
      <c r="G9" s="22">
        <v>25</v>
      </c>
    </row>
    <row r="10" spans="2:7" outlineLevel="1" x14ac:dyDescent="0.3">
      <c r="B10" s="17"/>
      <c r="C10" s="17" t="s">
        <v>66</v>
      </c>
      <c r="D10">
        <v>15</v>
      </c>
      <c r="E10" s="22">
        <v>15</v>
      </c>
      <c r="F10" s="22">
        <v>18</v>
      </c>
      <c r="G10" s="22">
        <v>30</v>
      </c>
    </row>
    <row r="11" spans="2:7" outlineLevel="1" x14ac:dyDescent="0.3">
      <c r="B11" s="17"/>
      <c r="C11" s="17" t="s">
        <v>67</v>
      </c>
      <c r="D11">
        <v>6</v>
      </c>
      <c r="E11" s="22">
        <v>6</v>
      </c>
      <c r="F11" s="22">
        <v>9</v>
      </c>
      <c r="G11" s="22">
        <v>20</v>
      </c>
    </row>
    <row r="12" spans="2:7" outlineLevel="1" x14ac:dyDescent="0.3">
      <c r="B12" s="17"/>
      <c r="C12" s="17" t="s">
        <v>68</v>
      </c>
      <c r="D12">
        <v>8</v>
      </c>
      <c r="E12" s="22">
        <v>8</v>
      </c>
      <c r="F12" s="22">
        <v>11</v>
      </c>
      <c r="G12" s="22">
        <v>25</v>
      </c>
    </row>
    <row r="13" spans="2:7" outlineLevel="1" x14ac:dyDescent="0.3">
      <c r="B13" s="17"/>
      <c r="C13" s="17" t="s">
        <v>69</v>
      </c>
      <c r="D13">
        <v>12</v>
      </c>
      <c r="E13" s="22">
        <v>12</v>
      </c>
      <c r="F13" s="22">
        <v>15</v>
      </c>
      <c r="G13" s="22">
        <v>28</v>
      </c>
    </row>
    <row r="14" spans="2:7" outlineLevel="1" x14ac:dyDescent="0.3">
      <c r="B14" s="17"/>
      <c r="C14" s="17" t="s">
        <v>70</v>
      </c>
      <c r="D14">
        <v>7</v>
      </c>
      <c r="E14" s="22">
        <v>7</v>
      </c>
      <c r="F14" s="22">
        <v>9</v>
      </c>
      <c r="G14" s="22">
        <v>18</v>
      </c>
    </row>
    <row r="15" spans="2:7" outlineLevel="1" x14ac:dyDescent="0.3">
      <c r="B15" s="17"/>
      <c r="C15" s="17" t="s">
        <v>71</v>
      </c>
      <c r="D15">
        <v>9</v>
      </c>
      <c r="E15" s="22">
        <v>9</v>
      </c>
      <c r="F15" s="22">
        <v>12</v>
      </c>
      <c r="G15" s="22">
        <v>22</v>
      </c>
    </row>
    <row r="16" spans="2:7" outlineLevel="1" x14ac:dyDescent="0.3">
      <c r="B16" s="17"/>
      <c r="C16" s="17" t="s">
        <v>72</v>
      </c>
      <c r="D16">
        <v>5</v>
      </c>
      <c r="E16" s="22">
        <v>5</v>
      </c>
      <c r="F16" s="22">
        <v>8</v>
      </c>
      <c r="G16" s="22">
        <v>21</v>
      </c>
    </row>
    <row r="17" spans="2:7" outlineLevel="1" x14ac:dyDescent="0.3">
      <c r="B17" s="17"/>
      <c r="C17" s="17" t="s">
        <v>73</v>
      </c>
      <c r="D17">
        <v>120</v>
      </c>
      <c r="E17" s="22">
        <v>120</v>
      </c>
      <c r="F17" s="22">
        <v>122</v>
      </c>
      <c r="G17" s="22">
        <v>128</v>
      </c>
    </row>
    <row r="18" spans="2:7" outlineLevel="1" x14ac:dyDescent="0.3">
      <c r="B18" s="17"/>
      <c r="C18" s="17" t="s">
        <v>74</v>
      </c>
      <c r="D18">
        <v>210</v>
      </c>
      <c r="E18" s="22">
        <v>210</v>
      </c>
      <c r="F18" s="22">
        <v>213</v>
      </c>
      <c r="G18" s="22">
        <v>218</v>
      </c>
    </row>
    <row r="19" spans="2:7" outlineLevel="1" x14ac:dyDescent="0.3">
      <c r="B19" s="17"/>
      <c r="C19" s="17" t="s">
        <v>75</v>
      </c>
      <c r="D19">
        <v>180</v>
      </c>
      <c r="E19" s="22">
        <v>180</v>
      </c>
      <c r="F19" s="22">
        <v>185</v>
      </c>
      <c r="G19" s="22">
        <v>195</v>
      </c>
    </row>
    <row r="20" spans="2:7" outlineLevel="1" x14ac:dyDescent="0.3">
      <c r="B20" s="17"/>
      <c r="C20" s="17" t="s">
        <v>76</v>
      </c>
      <c r="D20">
        <v>25</v>
      </c>
      <c r="E20" s="22">
        <v>25</v>
      </c>
      <c r="F20" s="22">
        <v>25</v>
      </c>
      <c r="G20" s="22">
        <v>35</v>
      </c>
    </row>
    <row r="21" spans="2:7" outlineLevel="1" x14ac:dyDescent="0.3">
      <c r="B21" s="17"/>
      <c r="C21" s="17" t="s">
        <v>77</v>
      </c>
      <c r="D21">
        <v>18</v>
      </c>
      <c r="E21" s="22">
        <v>18</v>
      </c>
      <c r="F21" s="22">
        <v>22</v>
      </c>
      <c r="G21" s="22">
        <v>28</v>
      </c>
    </row>
    <row r="22" spans="2:7" outlineLevel="1" x14ac:dyDescent="0.3">
      <c r="B22" s="17"/>
      <c r="C22" s="17" t="s">
        <v>78</v>
      </c>
      <c r="D22">
        <v>320</v>
      </c>
      <c r="E22" s="22">
        <v>320</v>
      </c>
      <c r="F22" s="22">
        <v>330</v>
      </c>
      <c r="G22" s="22">
        <v>335</v>
      </c>
    </row>
    <row r="23" spans="2:7" outlineLevel="1" x14ac:dyDescent="0.3">
      <c r="B23" s="17"/>
      <c r="C23" s="17" t="s">
        <v>79</v>
      </c>
      <c r="D23">
        <v>540</v>
      </c>
      <c r="E23" s="22">
        <v>540</v>
      </c>
      <c r="F23" s="22">
        <v>545</v>
      </c>
      <c r="G23" s="22">
        <v>560</v>
      </c>
    </row>
    <row r="24" spans="2:7" outlineLevel="1" x14ac:dyDescent="0.3">
      <c r="B24" s="17"/>
      <c r="C24" s="17" t="s">
        <v>80</v>
      </c>
      <c r="D24">
        <v>35</v>
      </c>
      <c r="E24" s="22">
        <v>35</v>
      </c>
      <c r="F24" s="22">
        <v>40</v>
      </c>
      <c r="G24" s="22">
        <v>50</v>
      </c>
    </row>
    <row r="25" spans="2:7" outlineLevel="1" x14ac:dyDescent="0.3">
      <c r="B25" s="17"/>
      <c r="C25" s="17" t="s">
        <v>81</v>
      </c>
      <c r="D25">
        <v>95</v>
      </c>
      <c r="E25" s="22">
        <v>95</v>
      </c>
      <c r="F25" s="22">
        <v>100</v>
      </c>
      <c r="G25" s="22">
        <v>118</v>
      </c>
    </row>
    <row r="26" spans="2:7" outlineLevel="1" x14ac:dyDescent="0.3">
      <c r="B26" s="17"/>
      <c r="C26" s="17" t="s">
        <v>82</v>
      </c>
      <c r="D26">
        <v>60</v>
      </c>
      <c r="E26" s="22">
        <v>60</v>
      </c>
      <c r="F26" s="22">
        <v>65</v>
      </c>
      <c r="G26" s="22">
        <v>70</v>
      </c>
    </row>
    <row r="27" spans="2:7" outlineLevel="1" x14ac:dyDescent="0.3">
      <c r="B27" s="17"/>
      <c r="C27" s="17" t="s">
        <v>83</v>
      </c>
      <c r="D27">
        <v>85</v>
      </c>
      <c r="E27" s="22">
        <v>85</v>
      </c>
      <c r="F27" s="22">
        <v>90</v>
      </c>
      <c r="G27" s="22">
        <v>100</v>
      </c>
    </row>
    <row r="28" spans="2:7" x14ac:dyDescent="0.3">
      <c r="B28" s="18" t="s">
        <v>93</v>
      </c>
      <c r="C28" s="18"/>
      <c r="D28" s="16"/>
      <c r="E28" s="16"/>
      <c r="F28" s="16"/>
      <c r="G28" s="16"/>
    </row>
    <row r="29" spans="2:7" ht="15" outlineLevel="1" thickBot="1" x14ac:dyDescent="0.35">
      <c r="B29" s="19"/>
      <c r="C29" s="19" t="s">
        <v>84</v>
      </c>
      <c r="D29" s="13">
        <v>600</v>
      </c>
      <c r="E29" s="13">
        <v>600</v>
      </c>
      <c r="F29" s="13">
        <v>854</v>
      </c>
      <c r="G29" s="13">
        <v>1920</v>
      </c>
    </row>
    <row r="30" spans="2:7" x14ac:dyDescent="0.3">
      <c r="B30" t="s">
        <v>94</v>
      </c>
    </row>
    <row r="31" spans="2:7" x14ac:dyDescent="0.3">
      <c r="B31" t="s">
        <v>95</v>
      </c>
    </row>
    <row r="32" spans="2:7" x14ac:dyDescent="0.3">
      <c r="B32" t="s">
        <v>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1C2D8-5702-4EF0-B410-24EDEBC56597}">
  <dimension ref="A1:AE48"/>
  <sheetViews>
    <sheetView topLeftCell="A61" zoomScale="86" zoomScaleNormal="86" workbookViewId="0">
      <selection activeCell="F52" sqref="F52"/>
    </sheetView>
  </sheetViews>
  <sheetFormatPr defaultRowHeight="14.4" x14ac:dyDescent="0.3"/>
  <cols>
    <col min="1" max="1" width="10.5546875" bestFit="1" customWidth="1"/>
    <col min="2" max="2" width="12.6640625" bestFit="1" customWidth="1"/>
    <col min="3" max="3" width="20.77734375" bestFit="1" customWidth="1"/>
    <col min="4" max="4" width="12.6640625" bestFit="1" customWidth="1"/>
    <col min="5" max="28" width="29.21875" bestFit="1" customWidth="1"/>
    <col min="29" max="29" width="21.21875" bestFit="1" customWidth="1"/>
    <col min="30" max="30" width="33.77734375" bestFit="1" customWidth="1"/>
    <col min="31" max="31" width="20.21875" bestFit="1" customWidth="1"/>
    <col min="32" max="40" width="29.21875" bestFit="1" customWidth="1"/>
    <col min="41" max="41" width="21.21875" bestFit="1" customWidth="1"/>
    <col min="42" max="42" width="33.77734375" bestFit="1" customWidth="1"/>
    <col min="43" max="43" width="20.21875" bestFit="1" customWidth="1"/>
  </cols>
  <sheetData>
    <row r="1" spans="1:31" x14ac:dyDescent="0.3">
      <c r="E1" s="10" t="s">
        <v>3</v>
      </c>
      <c r="F1" s="10" t="s">
        <v>97</v>
      </c>
    </row>
    <row r="2" spans="1:31" x14ac:dyDescent="0.3">
      <c r="E2" t="s">
        <v>32</v>
      </c>
      <c r="H2" t="s">
        <v>30</v>
      </c>
      <c r="K2" t="s">
        <v>35</v>
      </c>
      <c r="N2" t="s">
        <v>42</v>
      </c>
      <c r="Q2" t="s">
        <v>25</v>
      </c>
      <c r="T2" t="s">
        <v>39</v>
      </c>
      <c r="W2" t="s">
        <v>23</v>
      </c>
      <c r="Z2" t="s">
        <v>47</v>
      </c>
      <c r="AC2" t="s">
        <v>98</v>
      </c>
      <c r="AD2" t="s">
        <v>101</v>
      </c>
      <c r="AE2" t="s">
        <v>103</v>
      </c>
    </row>
    <row r="3" spans="1:31" x14ac:dyDescent="0.3">
      <c r="A3" s="10" t="s">
        <v>1</v>
      </c>
      <c r="B3" s="10" t="s">
        <v>118</v>
      </c>
      <c r="C3" s="10" t="s">
        <v>110</v>
      </c>
      <c r="D3" s="10" t="s">
        <v>0</v>
      </c>
      <c r="E3" t="s">
        <v>50</v>
      </c>
      <c r="F3" t="s">
        <v>102</v>
      </c>
      <c r="G3" t="s">
        <v>104</v>
      </c>
      <c r="H3" t="s">
        <v>50</v>
      </c>
      <c r="I3" t="s">
        <v>102</v>
      </c>
      <c r="J3" t="s">
        <v>104</v>
      </c>
      <c r="K3" t="s">
        <v>50</v>
      </c>
      <c r="L3" t="s">
        <v>102</v>
      </c>
      <c r="M3" t="s">
        <v>104</v>
      </c>
      <c r="N3" t="s">
        <v>50</v>
      </c>
      <c r="O3" t="s">
        <v>102</v>
      </c>
      <c r="P3" t="s">
        <v>104</v>
      </c>
      <c r="Q3" t="s">
        <v>50</v>
      </c>
      <c r="R3" t="s">
        <v>102</v>
      </c>
      <c r="S3" t="s">
        <v>104</v>
      </c>
      <c r="T3" t="s">
        <v>50</v>
      </c>
      <c r="U3" t="s">
        <v>102</v>
      </c>
      <c r="V3" t="s">
        <v>104</v>
      </c>
      <c r="W3" t="s">
        <v>50</v>
      </c>
      <c r="X3" t="s">
        <v>102</v>
      </c>
      <c r="Y3" t="s">
        <v>104</v>
      </c>
      <c r="Z3" t="s">
        <v>50</v>
      </c>
      <c r="AA3" t="s">
        <v>102</v>
      </c>
      <c r="AB3" t="s">
        <v>104</v>
      </c>
    </row>
    <row r="4" spans="1:31" x14ac:dyDescent="0.3">
      <c r="A4" t="s">
        <v>18</v>
      </c>
      <c r="B4" t="s">
        <v>119</v>
      </c>
      <c r="C4" t="s">
        <v>111</v>
      </c>
      <c r="D4" s="25">
        <v>46063</v>
      </c>
      <c r="F4" t="e">
        <v>#DIV/0!</v>
      </c>
      <c r="H4">
        <v>250</v>
      </c>
      <c r="I4">
        <v>25</v>
      </c>
      <c r="J4">
        <v>25</v>
      </c>
      <c r="L4" t="e">
        <v>#DIV/0!</v>
      </c>
      <c r="O4" t="e">
        <v>#DIV/0!</v>
      </c>
      <c r="R4" t="e">
        <v>#DIV/0!</v>
      </c>
      <c r="U4" t="e">
        <v>#DIV/0!</v>
      </c>
      <c r="X4" t="e">
        <v>#DIV/0!</v>
      </c>
      <c r="AA4" t="e">
        <v>#DIV/0!</v>
      </c>
      <c r="AC4">
        <v>250</v>
      </c>
      <c r="AD4">
        <v>25</v>
      </c>
      <c r="AE4">
        <v>25</v>
      </c>
    </row>
    <row r="5" spans="1:31" x14ac:dyDescent="0.3">
      <c r="C5" t="s">
        <v>120</v>
      </c>
      <c r="F5" t="e">
        <v>#DIV/0!</v>
      </c>
      <c r="H5">
        <v>250</v>
      </c>
      <c r="I5">
        <v>25</v>
      </c>
      <c r="J5">
        <v>25</v>
      </c>
      <c r="L5" t="e">
        <v>#DIV/0!</v>
      </c>
      <c r="O5" t="e">
        <v>#DIV/0!</v>
      </c>
      <c r="R5" t="e">
        <v>#DIV/0!</v>
      </c>
      <c r="U5" t="e">
        <v>#DIV/0!</v>
      </c>
      <c r="X5" t="e">
        <v>#DIV/0!</v>
      </c>
      <c r="AA5" t="e">
        <v>#DIV/0!</v>
      </c>
      <c r="AC5">
        <v>250</v>
      </c>
      <c r="AD5">
        <v>25</v>
      </c>
      <c r="AE5">
        <v>25</v>
      </c>
    </row>
    <row r="6" spans="1:31" x14ac:dyDescent="0.3">
      <c r="C6" t="s">
        <v>112</v>
      </c>
      <c r="D6" s="25">
        <v>46096</v>
      </c>
      <c r="F6" t="e">
        <v>#DIV/0!</v>
      </c>
      <c r="H6">
        <v>665</v>
      </c>
      <c r="I6">
        <v>95</v>
      </c>
      <c r="J6">
        <v>95</v>
      </c>
      <c r="L6" t="e">
        <v>#DIV/0!</v>
      </c>
      <c r="O6" t="e">
        <v>#DIV/0!</v>
      </c>
      <c r="R6" t="e">
        <v>#DIV/0!</v>
      </c>
      <c r="U6" t="e">
        <v>#DIV/0!</v>
      </c>
      <c r="X6" t="e">
        <v>#DIV/0!</v>
      </c>
      <c r="AA6" t="e">
        <v>#DIV/0!</v>
      </c>
      <c r="AC6">
        <v>665</v>
      </c>
      <c r="AD6">
        <v>95</v>
      </c>
      <c r="AE6">
        <v>95</v>
      </c>
    </row>
    <row r="7" spans="1:31" x14ac:dyDescent="0.3">
      <c r="C7" t="s">
        <v>121</v>
      </c>
      <c r="F7" t="e">
        <v>#DIV/0!</v>
      </c>
      <c r="H7">
        <v>665</v>
      </c>
      <c r="I7">
        <v>95</v>
      </c>
      <c r="J7">
        <v>95</v>
      </c>
      <c r="L7" t="e">
        <v>#DIV/0!</v>
      </c>
      <c r="O7" t="e">
        <v>#DIV/0!</v>
      </c>
      <c r="R7" t="e">
        <v>#DIV/0!</v>
      </c>
      <c r="U7" t="e">
        <v>#DIV/0!</v>
      </c>
      <c r="X7" t="e">
        <v>#DIV/0!</v>
      </c>
      <c r="AA7" t="e">
        <v>#DIV/0!</v>
      </c>
      <c r="AC7">
        <v>665</v>
      </c>
      <c r="AD7">
        <v>95</v>
      </c>
      <c r="AE7">
        <v>95</v>
      </c>
    </row>
    <row r="8" spans="1:31" x14ac:dyDescent="0.3">
      <c r="C8" t="s">
        <v>113</v>
      </c>
      <c r="D8" s="25">
        <v>46132</v>
      </c>
      <c r="F8" t="e">
        <v>#DIV/0!</v>
      </c>
      <c r="I8" t="e">
        <v>#DIV/0!</v>
      </c>
      <c r="K8">
        <v>525</v>
      </c>
      <c r="L8">
        <v>175</v>
      </c>
      <c r="M8">
        <v>175</v>
      </c>
      <c r="O8" t="e">
        <v>#DIV/0!</v>
      </c>
      <c r="R8" t="e">
        <v>#DIV/0!</v>
      </c>
      <c r="U8" t="e">
        <v>#DIV/0!</v>
      </c>
      <c r="X8" t="e">
        <v>#DIV/0!</v>
      </c>
      <c r="AA8" t="e">
        <v>#DIV/0!</v>
      </c>
      <c r="AC8">
        <v>525</v>
      </c>
      <c r="AD8">
        <v>175</v>
      </c>
      <c r="AE8">
        <v>175</v>
      </c>
    </row>
    <row r="9" spans="1:31" x14ac:dyDescent="0.3">
      <c r="C9" t="s">
        <v>122</v>
      </c>
      <c r="F9" t="e">
        <v>#DIV/0!</v>
      </c>
      <c r="I9" t="e">
        <v>#DIV/0!</v>
      </c>
      <c r="K9">
        <v>525</v>
      </c>
      <c r="L9">
        <v>175</v>
      </c>
      <c r="M9">
        <v>175</v>
      </c>
      <c r="O9" t="e">
        <v>#DIV/0!</v>
      </c>
      <c r="R9" t="e">
        <v>#DIV/0!</v>
      </c>
      <c r="U9" t="e">
        <v>#DIV/0!</v>
      </c>
      <c r="X9" t="e">
        <v>#DIV/0!</v>
      </c>
      <c r="AA9" t="e">
        <v>#DIV/0!</v>
      </c>
      <c r="AC9">
        <v>525</v>
      </c>
      <c r="AD9">
        <v>175</v>
      </c>
      <c r="AE9">
        <v>175</v>
      </c>
    </row>
    <row r="10" spans="1:31" x14ac:dyDescent="0.3">
      <c r="C10" t="s">
        <v>114</v>
      </c>
      <c r="D10" s="25">
        <v>46166</v>
      </c>
      <c r="F10" t="e">
        <v>#DIV/0!</v>
      </c>
      <c r="I10" t="e">
        <v>#DIV/0!</v>
      </c>
      <c r="L10" t="e">
        <v>#DIV/0!</v>
      </c>
      <c r="N10">
        <v>1120</v>
      </c>
      <c r="O10">
        <v>160</v>
      </c>
      <c r="P10">
        <v>160</v>
      </c>
      <c r="R10" t="e">
        <v>#DIV/0!</v>
      </c>
      <c r="U10" t="e">
        <v>#DIV/0!</v>
      </c>
      <c r="X10" t="e">
        <v>#DIV/0!</v>
      </c>
      <c r="AA10" t="e">
        <v>#DIV/0!</v>
      </c>
      <c r="AC10">
        <v>1120</v>
      </c>
      <c r="AD10">
        <v>160</v>
      </c>
      <c r="AE10">
        <v>160</v>
      </c>
    </row>
    <row r="11" spans="1:31" x14ac:dyDescent="0.3">
      <c r="C11" t="s">
        <v>123</v>
      </c>
      <c r="F11" t="e">
        <v>#DIV/0!</v>
      </c>
      <c r="I11" t="e">
        <v>#DIV/0!</v>
      </c>
      <c r="L11" t="e">
        <v>#DIV/0!</v>
      </c>
      <c r="N11">
        <v>1120</v>
      </c>
      <c r="O11">
        <v>160</v>
      </c>
      <c r="P11">
        <v>160</v>
      </c>
      <c r="R11" t="e">
        <v>#DIV/0!</v>
      </c>
      <c r="U11" t="e">
        <v>#DIV/0!</v>
      </c>
      <c r="X11" t="e">
        <v>#DIV/0!</v>
      </c>
      <c r="AA11" t="e">
        <v>#DIV/0!</v>
      </c>
      <c r="AC11">
        <v>1120</v>
      </c>
      <c r="AD11">
        <v>160</v>
      </c>
      <c r="AE11">
        <v>160</v>
      </c>
    </row>
    <row r="12" spans="1:31" x14ac:dyDescent="0.3">
      <c r="C12" t="s">
        <v>116</v>
      </c>
      <c r="D12" s="25">
        <v>46229</v>
      </c>
      <c r="F12" t="e">
        <v>#DIV/0!</v>
      </c>
      <c r="I12" t="e">
        <v>#DIV/0!</v>
      </c>
      <c r="L12" t="e">
        <v>#DIV/0!</v>
      </c>
      <c r="O12" t="e">
        <v>#DIV/0!</v>
      </c>
      <c r="R12" t="e">
        <v>#DIV/0!</v>
      </c>
      <c r="U12" t="e">
        <v>#DIV/0!</v>
      </c>
      <c r="W12">
        <v>1920</v>
      </c>
      <c r="X12">
        <v>320</v>
      </c>
      <c r="Y12">
        <v>320</v>
      </c>
      <c r="AA12" t="e">
        <v>#DIV/0!</v>
      </c>
      <c r="AC12">
        <v>1920</v>
      </c>
      <c r="AD12">
        <v>320</v>
      </c>
      <c r="AE12">
        <v>320</v>
      </c>
    </row>
    <row r="13" spans="1:31" x14ac:dyDescent="0.3">
      <c r="C13" t="s">
        <v>125</v>
      </c>
      <c r="F13" t="e">
        <v>#DIV/0!</v>
      </c>
      <c r="I13" t="e">
        <v>#DIV/0!</v>
      </c>
      <c r="L13" t="e">
        <v>#DIV/0!</v>
      </c>
      <c r="O13" t="e">
        <v>#DIV/0!</v>
      </c>
      <c r="R13" t="e">
        <v>#DIV/0!</v>
      </c>
      <c r="U13" t="e">
        <v>#DIV/0!</v>
      </c>
      <c r="W13">
        <v>1920</v>
      </c>
      <c r="X13">
        <v>320</v>
      </c>
      <c r="Y13">
        <v>320</v>
      </c>
      <c r="AA13" t="e">
        <v>#DIV/0!</v>
      </c>
      <c r="AC13">
        <v>1920</v>
      </c>
      <c r="AD13">
        <v>320</v>
      </c>
      <c r="AE13">
        <v>320</v>
      </c>
    </row>
    <row r="14" spans="1:31" x14ac:dyDescent="0.3">
      <c r="B14" t="s">
        <v>126</v>
      </c>
      <c r="F14" t="e">
        <v>#DIV/0!</v>
      </c>
      <c r="H14">
        <v>915</v>
      </c>
      <c r="I14">
        <v>53.823529411764703</v>
      </c>
      <c r="J14">
        <v>120</v>
      </c>
      <c r="K14">
        <v>525</v>
      </c>
      <c r="L14">
        <v>175</v>
      </c>
      <c r="M14">
        <v>175</v>
      </c>
      <c r="N14">
        <v>1120</v>
      </c>
      <c r="O14">
        <v>160</v>
      </c>
      <c r="P14">
        <v>160</v>
      </c>
      <c r="R14" t="e">
        <v>#DIV/0!</v>
      </c>
      <c r="U14" t="e">
        <v>#DIV/0!</v>
      </c>
      <c r="W14">
        <v>1920</v>
      </c>
      <c r="X14">
        <v>320</v>
      </c>
      <c r="Y14">
        <v>320</v>
      </c>
      <c r="AA14" t="e">
        <v>#DIV/0!</v>
      </c>
      <c r="AC14">
        <v>4480</v>
      </c>
      <c r="AD14">
        <v>135.75757575757575</v>
      </c>
      <c r="AE14">
        <v>775</v>
      </c>
    </row>
    <row r="15" spans="1:31" x14ac:dyDescent="0.3">
      <c r="A15" t="s">
        <v>105</v>
      </c>
      <c r="F15" t="e">
        <v>#DIV/0!</v>
      </c>
      <c r="H15">
        <v>915</v>
      </c>
      <c r="I15">
        <v>53.823529411764703</v>
      </c>
      <c r="J15">
        <v>120</v>
      </c>
      <c r="K15">
        <v>525</v>
      </c>
      <c r="L15">
        <v>175</v>
      </c>
      <c r="M15">
        <v>175</v>
      </c>
      <c r="N15">
        <v>1120</v>
      </c>
      <c r="O15">
        <v>160</v>
      </c>
      <c r="P15">
        <v>160</v>
      </c>
      <c r="R15" t="e">
        <v>#DIV/0!</v>
      </c>
      <c r="U15" t="e">
        <v>#DIV/0!</v>
      </c>
      <c r="W15">
        <v>1920</v>
      </c>
      <c r="X15">
        <v>320</v>
      </c>
      <c r="Y15">
        <v>320</v>
      </c>
      <c r="AA15" t="e">
        <v>#DIV/0!</v>
      </c>
      <c r="AC15">
        <v>4480</v>
      </c>
      <c r="AD15">
        <v>135.75757575757575</v>
      </c>
      <c r="AE15">
        <v>775</v>
      </c>
    </row>
    <row r="16" spans="1:31" x14ac:dyDescent="0.3">
      <c r="A16" t="s">
        <v>12</v>
      </c>
      <c r="B16" t="s">
        <v>119</v>
      </c>
      <c r="C16" t="s">
        <v>112</v>
      </c>
      <c r="D16" s="25">
        <v>46083</v>
      </c>
      <c r="F16" t="e">
        <v>#DIV/0!</v>
      </c>
      <c r="H16">
        <v>4320</v>
      </c>
      <c r="I16">
        <v>540</v>
      </c>
      <c r="J16">
        <v>540</v>
      </c>
      <c r="L16" t="e">
        <v>#DIV/0!</v>
      </c>
      <c r="O16" t="e">
        <v>#DIV/0!</v>
      </c>
      <c r="R16" t="e">
        <v>#DIV/0!</v>
      </c>
      <c r="U16" t="e">
        <v>#DIV/0!</v>
      </c>
      <c r="X16" t="e">
        <v>#DIV/0!</v>
      </c>
      <c r="AA16" t="e">
        <v>#DIV/0!</v>
      </c>
      <c r="AC16">
        <v>4320</v>
      </c>
      <c r="AD16">
        <v>540</v>
      </c>
      <c r="AE16">
        <v>540</v>
      </c>
    </row>
    <row r="17" spans="1:31" x14ac:dyDescent="0.3">
      <c r="C17" t="s">
        <v>121</v>
      </c>
      <c r="F17" t="e">
        <v>#DIV/0!</v>
      </c>
      <c r="H17">
        <v>4320</v>
      </c>
      <c r="I17">
        <v>540</v>
      </c>
      <c r="J17">
        <v>540</v>
      </c>
      <c r="L17" t="e">
        <v>#DIV/0!</v>
      </c>
      <c r="O17" t="e">
        <v>#DIV/0!</v>
      </c>
      <c r="R17" t="e">
        <v>#DIV/0!</v>
      </c>
      <c r="U17" t="e">
        <v>#DIV/0!</v>
      </c>
      <c r="X17" t="e">
        <v>#DIV/0!</v>
      </c>
      <c r="AA17" t="e">
        <v>#DIV/0!</v>
      </c>
      <c r="AC17">
        <v>4320</v>
      </c>
      <c r="AD17">
        <v>540</v>
      </c>
      <c r="AE17">
        <v>540</v>
      </c>
    </row>
    <row r="18" spans="1:31" x14ac:dyDescent="0.3">
      <c r="C18" t="s">
        <v>113</v>
      </c>
      <c r="D18" s="25">
        <v>46121</v>
      </c>
      <c r="E18">
        <v>900</v>
      </c>
      <c r="F18">
        <v>450</v>
      </c>
      <c r="G18">
        <v>450</v>
      </c>
      <c r="I18" t="e">
        <v>#DIV/0!</v>
      </c>
      <c r="L18" t="e">
        <v>#DIV/0!</v>
      </c>
      <c r="O18" t="e">
        <v>#DIV/0!</v>
      </c>
      <c r="R18" t="e">
        <v>#DIV/0!</v>
      </c>
      <c r="U18" t="e">
        <v>#DIV/0!</v>
      </c>
      <c r="X18" t="e">
        <v>#DIV/0!</v>
      </c>
      <c r="AA18" t="e">
        <v>#DIV/0!</v>
      </c>
      <c r="AC18">
        <v>900</v>
      </c>
      <c r="AD18">
        <v>450</v>
      </c>
      <c r="AE18">
        <v>450</v>
      </c>
    </row>
    <row r="19" spans="1:31" x14ac:dyDescent="0.3">
      <c r="C19" t="s">
        <v>122</v>
      </c>
      <c r="E19">
        <v>900</v>
      </c>
      <c r="F19">
        <v>450</v>
      </c>
      <c r="G19">
        <v>450</v>
      </c>
      <c r="I19" t="e">
        <v>#DIV/0!</v>
      </c>
      <c r="L19" t="e">
        <v>#DIV/0!</v>
      </c>
      <c r="O19" t="e">
        <v>#DIV/0!</v>
      </c>
      <c r="R19" t="e">
        <v>#DIV/0!</v>
      </c>
      <c r="U19" t="e">
        <v>#DIV/0!</v>
      </c>
      <c r="X19" t="e">
        <v>#DIV/0!</v>
      </c>
      <c r="AA19" t="e">
        <v>#DIV/0!</v>
      </c>
      <c r="AC19">
        <v>900</v>
      </c>
      <c r="AD19">
        <v>450</v>
      </c>
      <c r="AE19">
        <v>450</v>
      </c>
    </row>
    <row r="20" spans="1:31" x14ac:dyDescent="0.3">
      <c r="C20" t="s">
        <v>114</v>
      </c>
      <c r="D20" s="25">
        <v>46154</v>
      </c>
      <c r="F20" t="e">
        <v>#DIV/0!</v>
      </c>
      <c r="I20" t="e">
        <v>#DIV/0!</v>
      </c>
      <c r="L20" t="e">
        <v>#DIV/0!</v>
      </c>
      <c r="O20" t="e">
        <v>#DIV/0!</v>
      </c>
      <c r="R20" t="e">
        <v>#DIV/0!</v>
      </c>
      <c r="T20">
        <v>450</v>
      </c>
      <c r="U20">
        <v>75</v>
      </c>
      <c r="V20">
        <v>75</v>
      </c>
      <c r="X20" t="e">
        <v>#DIV/0!</v>
      </c>
      <c r="AA20" t="e">
        <v>#DIV/0!</v>
      </c>
      <c r="AC20">
        <v>450</v>
      </c>
      <c r="AD20">
        <v>75</v>
      </c>
      <c r="AE20">
        <v>75</v>
      </c>
    </row>
    <row r="21" spans="1:31" x14ac:dyDescent="0.3">
      <c r="C21" t="s">
        <v>123</v>
      </c>
      <c r="F21" t="e">
        <v>#DIV/0!</v>
      </c>
      <c r="I21" t="e">
        <v>#DIV/0!</v>
      </c>
      <c r="L21" t="e">
        <v>#DIV/0!</v>
      </c>
      <c r="O21" t="e">
        <v>#DIV/0!</v>
      </c>
      <c r="R21" t="e">
        <v>#DIV/0!</v>
      </c>
      <c r="T21">
        <v>450</v>
      </c>
      <c r="U21">
        <v>75</v>
      </c>
      <c r="V21">
        <v>75</v>
      </c>
      <c r="X21" t="e">
        <v>#DIV/0!</v>
      </c>
      <c r="AA21" t="e">
        <v>#DIV/0!</v>
      </c>
      <c r="AC21">
        <v>450</v>
      </c>
      <c r="AD21">
        <v>75</v>
      </c>
      <c r="AE21">
        <v>75</v>
      </c>
    </row>
    <row r="22" spans="1:31" x14ac:dyDescent="0.3">
      <c r="B22" t="s">
        <v>126</v>
      </c>
      <c r="E22">
        <v>900</v>
      </c>
      <c r="F22">
        <v>450</v>
      </c>
      <c r="G22">
        <v>450</v>
      </c>
      <c r="H22">
        <v>4320</v>
      </c>
      <c r="I22">
        <v>540</v>
      </c>
      <c r="J22">
        <v>540</v>
      </c>
      <c r="L22" t="e">
        <v>#DIV/0!</v>
      </c>
      <c r="O22" t="e">
        <v>#DIV/0!</v>
      </c>
      <c r="R22" t="e">
        <v>#DIV/0!</v>
      </c>
      <c r="T22">
        <v>450</v>
      </c>
      <c r="U22">
        <v>75</v>
      </c>
      <c r="V22">
        <v>75</v>
      </c>
      <c r="X22" t="e">
        <v>#DIV/0!</v>
      </c>
      <c r="AA22" t="e">
        <v>#DIV/0!</v>
      </c>
      <c r="AC22">
        <v>5670</v>
      </c>
      <c r="AD22">
        <v>354.375</v>
      </c>
      <c r="AE22">
        <v>1065</v>
      </c>
    </row>
    <row r="23" spans="1:31" x14ac:dyDescent="0.3">
      <c r="A23" t="s">
        <v>106</v>
      </c>
      <c r="E23">
        <v>900</v>
      </c>
      <c r="F23">
        <v>450</v>
      </c>
      <c r="G23">
        <v>450</v>
      </c>
      <c r="H23">
        <v>4320</v>
      </c>
      <c r="I23">
        <v>540</v>
      </c>
      <c r="J23">
        <v>540</v>
      </c>
      <c r="L23" t="e">
        <v>#DIV/0!</v>
      </c>
      <c r="O23" t="e">
        <v>#DIV/0!</v>
      </c>
      <c r="R23" t="e">
        <v>#DIV/0!</v>
      </c>
      <c r="T23">
        <v>450</v>
      </c>
      <c r="U23">
        <v>75</v>
      </c>
      <c r="V23">
        <v>75</v>
      </c>
      <c r="X23" t="e">
        <v>#DIV/0!</v>
      </c>
      <c r="AA23" t="e">
        <v>#DIV/0!</v>
      </c>
      <c r="AC23">
        <v>5670</v>
      </c>
      <c r="AD23">
        <v>354.375</v>
      </c>
      <c r="AE23">
        <v>1065</v>
      </c>
    </row>
    <row r="24" spans="1:31" x14ac:dyDescent="0.3">
      <c r="A24" t="s">
        <v>7</v>
      </c>
      <c r="B24" t="s">
        <v>119</v>
      </c>
      <c r="C24" t="s">
        <v>115</v>
      </c>
      <c r="D24" s="25">
        <v>46176</v>
      </c>
      <c r="E24">
        <v>1360</v>
      </c>
      <c r="F24">
        <v>680</v>
      </c>
      <c r="G24">
        <v>680</v>
      </c>
      <c r="I24" t="e">
        <v>#DIV/0!</v>
      </c>
      <c r="L24" t="e">
        <v>#DIV/0!</v>
      </c>
      <c r="O24" t="e">
        <v>#DIV/0!</v>
      </c>
      <c r="R24" t="e">
        <v>#DIV/0!</v>
      </c>
      <c r="U24" t="e">
        <v>#DIV/0!</v>
      </c>
      <c r="X24" t="e">
        <v>#DIV/0!</v>
      </c>
      <c r="AA24" t="e">
        <v>#DIV/0!</v>
      </c>
      <c r="AC24">
        <v>1360</v>
      </c>
      <c r="AD24">
        <v>680</v>
      </c>
      <c r="AE24">
        <v>680</v>
      </c>
    </row>
    <row r="25" spans="1:31" x14ac:dyDescent="0.3">
      <c r="C25" t="s">
        <v>124</v>
      </c>
      <c r="E25">
        <v>1360</v>
      </c>
      <c r="F25">
        <v>680</v>
      </c>
      <c r="G25">
        <v>680</v>
      </c>
      <c r="I25" t="e">
        <v>#DIV/0!</v>
      </c>
      <c r="L25" t="e">
        <v>#DIV/0!</v>
      </c>
      <c r="O25" t="e">
        <v>#DIV/0!</v>
      </c>
      <c r="R25" t="e">
        <v>#DIV/0!</v>
      </c>
      <c r="U25" t="e">
        <v>#DIV/0!</v>
      </c>
      <c r="X25" t="e">
        <v>#DIV/0!</v>
      </c>
      <c r="AA25" t="e">
        <v>#DIV/0!</v>
      </c>
      <c r="AC25">
        <v>1360</v>
      </c>
      <c r="AD25">
        <v>680</v>
      </c>
      <c r="AE25">
        <v>680</v>
      </c>
    </row>
    <row r="26" spans="1:31" x14ac:dyDescent="0.3">
      <c r="B26" t="s">
        <v>126</v>
      </c>
      <c r="E26">
        <v>1360</v>
      </c>
      <c r="F26">
        <v>680</v>
      </c>
      <c r="G26">
        <v>680</v>
      </c>
      <c r="I26" t="e">
        <v>#DIV/0!</v>
      </c>
      <c r="L26" t="e">
        <v>#DIV/0!</v>
      </c>
      <c r="O26" t="e">
        <v>#DIV/0!</v>
      </c>
      <c r="R26" t="e">
        <v>#DIV/0!</v>
      </c>
      <c r="U26" t="e">
        <v>#DIV/0!</v>
      </c>
      <c r="X26" t="e">
        <v>#DIV/0!</v>
      </c>
      <c r="AA26" t="e">
        <v>#DIV/0!</v>
      </c>
      <c r="AC26">
        <v>1360</v>
      </c>
      <c r="AD26">
        <v>680</v>
      </c>
      <c r="AE26">
        <v>680</v>
      </c>
    </row>
    <row r="27" spans="1:31" x14ac:dyDescent="0.3">
      <c r="A27" t="s">
        <v>107</v>
      </c>
      <c r="E27">
        <v>1360</v>
      </c>
      <c r="F27">
        <v>680</v>
      </c>
      <c r="G27">
        <v>680</v>
      </c>
      <c r="I27" t="e">
        <v>#DIV/0!</v>
      </c>
      <c r="L27" t="e">
        <v>#DIV/0!</v>
      </c>
      <c r="O27" t="e">
        <v>#DIV/0!</v>
      </c>
      <c r="R27" t="e">
        <v>#DIV/0!</v>
      </c>
      <c r="U27" t="e">
        <v>#DIV/0!</v>
      </c>
      <c r="X27" t="e">
        <v>#DIV/0!</v>
      </c>
      <c r="AA27" t="e">
        <v>#DIV/0!</v>
      </c>
      <c r="AC27">
        <v>1360</v>
      </c>
      <c r="AD27">
        <v>680</v>
      </c>
      <c r="AE27">
        <v>680</v>
      </c>
    </row>
    <row r="28" spans="1:31" x14ac:dyDescent="0.3">
      <c r="A28" t="s">
        <v>10</v>
      </c>
      <c r="B28" t="s">
        <v>119</v>
      </c>
      <c r="C28" t="s">
        <v>117</v>
      </c>
      <c r="D28" s="25">
        <v>46034</v>
      </c>
      <c r="F28" t="e">
        <v>#DIV/0!</v>
      </c>
      <c r="I28" t="e">
        <v>#DIV/0!</v>
      </c>
      <c r="L28" t="e">
        <v>#DIV/0!</v>
      </c>
      <c r="O28" t="e">
        <v>#DIV/0!</v>
      </c>
      <c r="R28" t="e">
        <v>#DIV/0!</v>
      </c>
      <c r="U28" t="e">
        <v>#DIV/0!</v>
      </c>
      <c r="X28" t="e">
        <v>#DIV/0!</v>
      </c>
      <c r="Z28">
        <v>600</v>
      </c>
      <c r="AA28">
        <v>120</v>
      </c>
      <c r="AB28">
        <v>120</v>
      </c>
      <c r="AC28">
        <v>600</v>
      </c>
      <c r="AD28">
        <v>120</v>
      </c>
      <c r="AE28">
        <v>120</v>
      </c>
    </row>
    <row r="29" spans="1:31" x14ac:dyDescent="0.3">
      <c r="C29" t="s">
        <v>127</v>
      </c>
      <c r="F29" t="e">
        <v>#DIV/0!</v>
      </c>
      <c r="I29" t="e">
        <v>#DIV/0!</v>
      </c>
      <c r="L29" t="e">
        <v>#DIV/0!</v>
      </c>
      <c r="O29" t="e">
        <v>#DIV/0!</v>
      </c>
      <c r="R29" t="e">
        <v>#DIV/0!</v>
      </c>
      <c r="U29" t="e">
        <v>#DIV/0!</v>
      </c>
      <c r="X29" t="e">
        <v>#DIV/0!</v>
      </c>
      <c r="Z29">
        <v>600</v>
      </c>
      <c r="AA29">
        <v>120</v>
      </c>
      <c r="AB29">
        <v>120</v>
      </c>
      <c r="AC29">
        <v>600</v>
      </c>
      <c r="AD29">
        <v>120</v>
      </c>
      <c r="AE29">
        <v>120</v>
      </c>
    </row>
    <row r="30" spans="1:31" x14ac:dyDescent="0.3">
      <c r="C30" t="s">
        <v>111</v>
      </c>
      <c r="D30" s="25">
        <v>46075</v>
      </c>
      <c r="F30" t="e">
        <v>#DIV/0!</v>
      </c>
      <c r="I30" t="e">
        <v>#DIV/0!</v>
      </c>
      <c r="L30" t="e">
        <v>#DIV/0!</v>
      </c>
      <c r="O30" t="e">
        <v>#DIV/0!</v>
      </c>
      <c r="R30" t="e">
        <v>#DIV/0!</v>
      </c>
      <c r="U30" t="e">
        <v>#DIV/0!</v>
      </c>
      <c r="W30">
        <v>1920</v>
      </c>
      <c r="X30">
        <v>320</v>
      </c>
      <c r="Y30">
        <v>320</v>
      </c>
      <c r="AA30" t="e">
        <v>#DIV/0!</v>
      </c>
      <c r="AC30">
        <v>1920</v>
      </c>
      <c r="AD30">
        <v>320</v>
      </c>
      <c r="AE30">
        <v>320</v>
      </c>
    </row>
    <row r="31" spans="1:31" x14ac:dyDescent="0.3">
      <c r="C31" t="s">
        <v>120</v>
      </c>
      <c r="F31" t="e">
        <v>#DIV/0!</v>
      </c>
      <c r="I31" t="e">
        <v>#DIV/0!</v>
      </c>
      <c r="L31" t="e">
        <v>#DIV/0!</v>
      </c>
      <c r="O31" t="e">
        <v>#DIV/0!</v>
      </c>
      <c r="R31" t="e">
        <v>#DIV/0!</v>
      </c>
      <c r="U31" t="e">
        <v>#DIV/0!</v>
      </c>
      <c r="W31">
        <v>1920</v>
      </c>
      <c r="X31">
        <v>320</v>
      </c>
      <c r="Y31">
        <v>320</v>
      </c>
      <c r="AA31" t="e">
        <v>#DIV/0!</v>
      </c>
      <c r="AC31">
        <v>1920</v>
      </c>
      <c r="AD31">
        <v>320</v>
      </c>
      <c r="AE31">
        <v>320</v>
      </c>
    </row>
    <row r="32" spans="1:31" x14ac:dyDescent="0.3">
      <c r="C32" t="s">
        <v>113</v>
      </c>
      <c r="D32" s="25">
        <v>46116</v>
      </c>
      <c r="F32" t="e">
        <v>#DIV/0!</v>
      </c>
      <c r="H32">
        <v>425</v>
      </c>
      <c r="I32">
        <v>85</v>
      </c>
      <c r="J32">
        <v>85</v>
      </c>
      <c r="L32" t="e">
        <v>#DIV/0!</v>
      </c>
      <c r="O32" t="e">
        <v>#DIV/0!</v>
      </c>
      <c r="R32" t="e">
        <v>#DIV/0!</v>
      </c>
      <c r="U32" t="e">
        <v>#DIV/0!</v>
      </c>
      <c r="X32" t="e">
        <v>#DIV/0!</v>
      </c>
      <c r="AA32" t="e">
        <v>#DIV/0!</v>
      </c>
      <c r="AC32">
        <v>425</v>
      </c>
      <c r="AD32">
        <v>85</v>
      </c>
      <c r="AE32">
        <v>85</v>
      </c>
    </row>
    <row r="33" spans="1:31" x14ac:dyDescent="0.3">
      <c r="C33" t="s">
        <v>122</v>
      </c>
      <c r="F33" t="e">
        <v>#DIV/0!</v>
      </c>
      <c r="H33">
        <v>425</v>
      </c>
      <c r="I33">
        <v>85</v>
      </c>
      <c r="J33">
        <v>85</v>
      </c>
      <c r="L33" t="e">
        <v>#DIV/0!</v>
      </c>
      <c r="O33" t="e">
        <v>#DIV/0!</v>
      </c>
      <c r="R33" t="e">
        <v>#DIV/0!</v>
      </c>
      <c r="U33" t="e">
        <v>#DIV/0!</v>
      </c>
      <c r="X33" t="e">
        <v>#DIV/0!</v>
      </c>
      <c r="AA33" t="e">
        <v>#DIV/0!</v>
      </c>
      <c r="AC33">
        <v>425</v>
      </c>
      <c r="AD33">
        <v>85</v>
      </c>
      <c r="AE33">
        <v>85</v>
      </c>
    </row>
    <row r="34" spans="1:31" x14ac:dyDescent="0.3">
      <c r="C34" t="s">
        <v>114</v>
      </c>
      <c r="D34" s="25">
        <v>46149</v>
      </c>
      <c r="F34" t="e">
        <v>#DIV/0!</v>
      </c>
      <c r="I34" t="e">
        <v>#DIV/0!</v>
      </c>
      <c r="L34" t="e">
        <v>#DIV/0!</v>
      </c>
      <c r="O34" t="e">
        <v>#DIV/0!</v>
      </c>
      <c r="R34" t="e">
        <v>#DIV/0!</v>
      </c>
      <c r="U34" t="e">
        <v>#DIV/0!</v>
      </c>
      <c r="W34">
        <v>440</v>
      </c>
      <c r="X34">
        <v>40</v>
      </c>
      <c r="Y34">
        <v>40</v>
      </c>
      <c r="AA34" t="e">
        <v>#DIV/0!</v>
      </c>
      <c r="AC34">
        <v>440</v>
      </c>
      <c r="AD34">
        <v>40</v>
      </c>
      <c r="AE34">
        <v>40</v>
      </c>
    </row>
    <row r="35" spans="1:31" x14ac:dyDescent="0.3">
      <c r="C35" t="s">
        <v>123</v>
      </c>
      <c r="F35" t="e">
        <v>#DIV/0!</v>
      </c>
      <c r="I35" t="e">
        <v>#DIV/0!</v>
      </c>
      <c r="L35" t="e">
        <v>#DIV/0!</v>
      </c>
      <c r="O35" t="e">
        <v>#DIV/0!</v>
      </c>
      <c r="R35" t="e">
        <v>#DIV/0!</v>
      </c>
      <c r="U35" t="e">
        <v>#DIV/0!</v>
      </c>
      <c r="W35">
        <v>440</v>
      </c>
      <c r="X35">
        <v>40</v>
      </c>
      <c r="Y35">
        <v>40</v>
      </c>
      <c r="AA35" t="e">
        <v>#DIV/0!</v>
      </c>
      <c r="AC35">
        <v>440</v>
      </c>
      <c r="AD35">
        <v>40</v>
      </c>
      <c r="AE35">
        <v>40</v>
      </c>
    </row>
    <row r="36" spans="1:31" x14ac:dyDescent="0.3">
      <c r="C36" t="s">
        <v>115</v>
      </c>
      <c r="D36" s="25">
        <v>46183</v>
      </c>
      <c r="F36" t="e">
        <v>#DIV/0!</v>
      </c>
      <c r="H36">
        <v>520</v>
      </c>
      <c r="I36">
        <v>130</v>
      </c>
      <c r="J36">
        <v>130</v>
      </c>
      <c r="L36" t="e">
        <v>#DIV/0!</v>
      </c>
      <c r="O36" t="e">
        <v>#DIV/0!</v>
      </c>
      <c r="R36" t="e">
        <v>#DIV/0!</v>
      </c>
      <c r="U36" t="e">
        <v>#DIV/0!</v>
      </c>
      <c r="X36" t="e">
        <v>#DIV/0!</v>
      </c>
      <c r="AA36" t="e">
        <v>#DIV/0!</v>
      </c>
      <c r="AC36">
        <v>520</v>
      </c>
      <c r="AD36">
        <v>130</v>
      </c>
      <c r="AE36">
        <v>130</v>
      </c>
    </row>
    <row r="37" spans="1:31" x14ac:dyDescent="0.3">
      <c r="C37" t="s">
        <v>124</v>
      </c>
      <c r="F37" t="e">
        <v>#DIV/0!</v>
      </c>
      <c r="H37">
        <v>520</v>
      </c>
      <c r="I37">
        <v>130</v>
      </c>
      <c r="J37">
        <v>130</v>
      </c>
      <c r="L37" t="e">
        <v>#DIV/0!</v>
      </c>
      <c r="O37" t="e">
        <v>#DIV/0!</v>
      </c>
      <c r="R37" t="e">
        <v>#DIV/0!</v>
      </c>
      <c r="U37" t="e">
        <v>#DIV/0!</v>
      </c>
      <c r="X37" t="e">
        <v>#DIV/0!</v>
      </c>
      <c r="AA37" t="e">
        <v>#DIV/0!</v>
      </c>
      <c r="AC37">
        <v>520</v>
      </c>
      <c r="AD37">
        <v>130</v>
      </c>
      <c r="AE37">
        <v>130</v>
      </c>
    </row>
    <row r="38" spans="1:31" x14ac:dyDescent="0.3">
      <c r="C38" t="s">
        <v>116</v>
      </c>
      <c r="D38" s="25">
        <v>46211</v>
      </c>
      <c r="F38" t="e">
        <v>#DIV/0!</v>
      </c>
      <c r="I38" t="e">
        <v>#DIV/0!</v>
      </c>
      <c r="L38" t="e">
        <v>#DIV/0!</v>
      </c>
      <c r="O38" t="e">
        <v>#DIV/0!</v>
      </c>
      <c r="Q38">
        <v>2700</v>
      </c>
      <c r="R38">
        <v>540</v>
      </c>
      <c r="S38">
        <v>540</v>
      </c>
      <c r="U38" t="e">
        <v>#DIV/0!</v>
      </c>
      <c r="X38" t="e">
        <v>#DIV/0!</v>
      </c>
      <c r="AA38" t="e">
        <v>#DIV/0!</v>
      </c>
      <c r="AC38">
        <v>2700</v>
      </c>
      <c r="AD38">
        <v>540</v>
      </c>
      <c r="AE38">
        <v>540</v>
      </c>
    </row>
    <row r="39" spans="1:31" x14ac:dyDescent="0.3">
      <c r="C39" t="s">
        <v>125</v>
      </c>
      <c r="F39" t="e">
        <v>#DIV/0!</v>
      </c>
      <c r="I39" t="e">
        <v>#DIV/0!</v>
      </c>
      <c r="L39" t="e">
        <v>#DIV/0!</v>
      </c>
      <c r="O39" t="e">
        <v>#DIV/0!</v>
      </c>
      <c r="Q39">
        <v>2700</v>
      </c>
      <c r="R39">
        <v>540</v>
      </c>
      <c r="S39">
        <v>540</v>
      </c>
      <c r="U39" t="e">
        <v>#DIV/0!</v>
      </c>
      <c r="X39" t="e">
        <v>#DIV/0!</v>
      </c>
      <c r="AA39" t="e">
        <v>#DIV/0!</v>
      </c>
      <c r="AC39">
        <v>2700</v>
      </c>
      <c r="AD39">
        <v>540</v>
      </c>
      <c r="AE39">
        <v>540</v>
      </c>
    </row>
    <row r="40" spans="1:31" x14ac:dyDescent="0.3">
      <c r="B40" t="s">
        <v>126</v>
      </c>
      <c r="F40" t="e">
        <v>#DIV/0!</v>
      </c>
      <c r="H40">
        <v>945</v>
      </c>
      <c r="I40">
        <v>105</v>
      </c>
      <c r="J40">
        <v>215</v>
      </c>
      <c r="L40" t="e">
        <v>#DIV/0!</v>
      </c>
      <c r="O40" t="e">
        <v>#DIV/0!</v>
      </c>
      <c r="Q40">
        <v>2700</v>
      </c>
      <c r="R40">
        <v>540</v>
      </c>
      <c r="S40">
        <v>540</v>
      </c>
      <c r="U40" t="e">
        <v>#DIV/0!</v>
      </c>
      <c r="W40">
        <v>2360</v>
      </c>
      <c r="X40">
        <v>138.8235294117647</v>
      </c>
      <c r="Y40">
        <v>360</v>
      </c>
      <c r="Z40">
        <v>600</v>
      </c>
      <c r="AA40">
        <v>120</v>
      </c>
      <c r="AB40">
        <v>120</v>
      </c>
      <c r="AC40">
        <v>6605</v>
      </c>
      <c r="AD40">
        <v>183.47222222222223</v>
      </c>
      <c r="AE40">
        <v>1235</v>
      </c>
    </row>
    <row r="41" spans="1:31" x14ac:dyDescent="0.3">
      <c r="A41" t="s">
        <v>108</v>
      </c>
      <c r="F41" t="e">
        <v>#DIV/0!</v>
      </c>
      <c r="H41">
        <v>945</v>
      </c>
      <c r="I41">
        <v>105</v>
      </c>
      <c r="J41">
        <v>215</v>
      </c>
      <c r="L41" t="e">
        <v>#DIV/0!</v>
      </c>
      <c r="O41" t="e">
        <v>#DIV/0!</v>
      </c>
      <c r="Q41">
        <v>2700</v>
      </c>
      <c r="R41">
        <v>540</v>
      </c>
      <c r="S41">
        <v>540</v>
      </c>
      <c r="U41" t="e">
        <v>#DIV/0!</v>
      </c>
      <c r="W41">
        <v>2360</v>
      </c>
      <c r="X41">
        <v>138.8235294117647</v>
      </c>
      <c r="Y41">
        <v>360</v>
      </c>
      <c r="Z41">
        <v>600</v>
      </c>
      <c r="AA41">
        <v>120</v>
      </c>
      <c r="AB41">
        <v>120</v>
      </c>
      <c r="AC41">
        <v>6605</v>
      </c>
      <c r="AD41">
        <v>183.47222222222223</v>
      </c>
      <c r="AE41">
        <v>1235</v>
      </c>
    </row>
    <row r="42" spans="1:31" x14ac:dyDescent="0.3">
      <c r="A42" t="s">
        <v>15</v>
      </c>
      <c r="B42" t="s">
        <v>119</v>
      </c>
      <c r="C42" t="s">
        <v>113</v>
      </c>
      <c r="D42" s="25">
        <v>46125</v>
      </c>
      <c r="F42" t="e">
        <v>#DIV/0!</v>
      </c>
      <c r="I42" t="e">
        <v>#DIV/0!</v>
      </c>
      <c r="L42" t="e">
        <v>#DIV/0!</v>
      </c>
      <c r="O42" t="e">
        <v>#DIV/0!</v>
      </c>
      <c r="R42" t="e">
        <v>#DIV/0!</v>
      </c>
      <c r="U42" t="e">
        <v>#DIV/0!</v>
      </c>
      <c r="X42" t="e">
        <v>#DIV/0!</v>
      </c>
      <c r="Z42">
        <v>240</v>
      </c>
      <c r="AA42">
        <v>12</v>
      </c>
      <c r="AB42">
        <v>12</v>
      </c>
      <c r="AC42">
        <v>240</v>
      </c>
      <c r="AD42">
        <v>12</v>
      </c>
      <c r="AE42">
        <v>12</v>
      </c>
    </row>
    <row r="43" spans="1:31" x14ac:dyDescent="0.3">
      <c r="C43" t="s">
        <v>122</v>
      </c>
      <c r="F43" t="e">
        <v>#DIV/0!</v>
      </c>
      <c r="I43" t="e">
        <v>#DIV/0!</v>
      </c>
      <c r="L43" t="e">
        <v>#DIV/0!</v>
      </c>
      <c r="O43" t="e">
        <v>#DIV/0!</v>
      </c>
      <c r="R43" t="e">
        <v>#DIV/0!</v>
      </c>
      <c r="U43" t="e">
        <v>#DIV/0!</v>
      </c>
      <c r="X43" t="e">
        <v>#DIV/0!</v>
      </c>
      <c r="Z43">
        <v>240</v>
      </c>
      <c r="AA43">
        <v>12</v>
      </c>
      <c r="AB43">
        <v>12</v>
      </c>
      <c r="AC43">
        <v>240</v>
      </c>
      <c r="AD43">
        <v>12</v>
      </c>
      <c r="AE43">
        <v>12</v>
      </c>
    </row>
    <row r="44" spans="1:31" x14ac:dyDescent="0.3">
      <c r="C44" t="s">
        <v>114</v>
      </c>
      <c r="D44" s="25">
        <v>46160</v>
      </c>
      <c r="F44" t="e">
        <v>#DIV/0!</v>
      </c>
      <c r="I44" t="e">
        <v>#DIV/0!</v>
      </c>
      <c r="L44" t="e">
        <v>#DIV/0!</v>
      </c>
      <c r="O44" t="e">
        <v>#DIV/0!</v>
      </c>
      <c r="R44" t="e">
        <v>#DIV/0!</v>
      </c>
      <c r="U44" t="e">
        <v>#DIV/0!</v>
      </c>
      <c r="W44">
        <v>550</v>
      </c>
      <c r="X44">
        <v>110</v>
      </c>
      <c r="Y44">
        <v>110</v>
      </c>
      <c r="AA44" t="e">
        <v>#DIV/0!</v>
      </c>
      <c r="AC44">
        <v>550</v>
      </c>
      <c r="AD44">
        <v>110</v>
      </c>
      <c r="AE44">
        <v>110</v>
      </c>
    </row>
    <row r="45" spans="1:31" x14ac:dyDescent="0.3">
      <c r="C45" t="s">
        <v>123</v>
      </c>
      <c r="F45" t="e">
        <v>#DIV/0!</v>
      </c>
      <c r="I45" t="e">
        <v>#DIV/0!</v>
      </c>
      <c r="L45" t="e">
        <v>#DIV/0!</v>
      </c>
      <c r="O45" t="e">
        <v>#DIV/0!</v>
      </c>
      <c r="R45" t="e">
        <v>#DIV/0!</v>
      </c>
      <c r="U45" t="e">
        <v>#DIV/0!</v>
      </c>
      <c r="W45">
        <v>550</v>
      </c>
      <c r="X45">
        <v>110</v>
      </c>
      <c r="Y45">
        <v>110</v>
      </c>
      <c r="AA45" t="e">
        <v>#DIV/0!</v>
      </c>
      <c r="AC45">
        <v>550</v>
      </c>
      <c r="AD45">
        <v>110</v>
      </c>
      <c r="AE45">
        <v>110</v>
      </c>
    </row>
    <row r="46" spans="1:31" x14ac:dyDescent="0.3">
      <c r="B46" t="s">
        <v>126</v>
      </c>
      <c r="F46" t="e">
        <v>#DIV/0!</v>
      </c>
      <c r="I46" t="e">
        <v>#DIV/0!</v>
      </c>
      <c r="L46" t="e">
        <v>#DIV/0!</v>
      </c>
      <c r="O46" t="e">
        <v>#DIV/0!</v>
      </c>
      <c r="R46" t="e">
        <v>#DIV/0!</v>
      </c>
      <c r="U46" t="e">
        <v>#DIV/0!</v>
      </c>
      <c r="W46">
        <v>550</v>
      </c>
      <c r="X46">
        <v>110</v>
      </c>
      <c r="Y46">
        <v>110</v>
      </c>
      <c r="Z46">
        <v>240</v>
      </c>
      <c r="AA46">
        <v>12</v>
      </c>
      <c r="AB46">
        <v>12</v>
      </c>
      <c r="AC46">
        <v>790</v>
      </c>
      <c r="AD46">
        <v>31.6</v>
      </c>
      <c r="AE46">
        <v>122</v>
      </c>
    </row>
    <row r="47" spans="1:31" x14ac:dyDescent="0.3">
      <c r="A47" t="s">
        <v>109</v>
      </c>
      <c r="F47" t="e">
        <v>#DIV/0!</v>
      </c>
      <c r="I47" t="e">
        <v>#DIV/0!</v>
      </c>
      <c r="L47" t="e">
        <v>#DIV/0!</v>
      </c>
      <c r="O47" t="e">
        <v>#DIV/0!</v>
      </c>
      <c r="R47" t="e">
        <v>#DIV/0!</v>
      </c>
      <c r="U47" t="e">
        <v>#DIV/0!</v>
      </c>
      <c r="W47">
        <v>550</v>
      </c>
      <c r="X47">
        <v>110</v>
      </c>
      <c r="Y47">
        <v>110</v>
      </c>
      <c r="Z47">
        <v>240</v>
      </c>
      <c r="AA47">
        <v>12</v>
      </c>
      <c r="AB47">
        <v>12</v>
      </c>
      <c r="AC47">
        <v>790</v>
      </c>
      <c r="AD47">
        <v>31.6</v>
      </c>
      <c r="AE47">
        <v>122</v>
      </c>
    </row>
    <row r="48" spans="1:31" x14ac:dyDescent="0.3">
      <c r="A48" t="s">
        <v>49</v>
      </c>
      <c r="E48">
        <v>2260</v>
      </c>
      <c r="F48">
        <v>565</v>
      </c>
      <c r="G48">
        <v>1130</v>
      </c>
      <c r="H48">
        <v>6180</v>
      </c>
      <c r="I48">
        <v>181.76470588235293</v>
      </c>
      <c r="J48">
        <v>875</v>
      </c>
      <c r="K48">
        <v>525</v>
      </c>
      <c r="L48">
        <v>175</v>
      </c>
      <c r="M48">
        <v>175</v>
      </c>
      <c r="N48">
        <v>1120</v>
      </c>
      <c r="O48">
        <v>160</v>
      </c>
      <c r="P48">
        <v>160</v>
      </c>
      <c r="Q48">
        <v>2700</v>
      </c>
      <c r="R48">
        <v>540</v>
      </c>
      <c r="S48">
        <v>540</v>
      </c>
      <c r="T48">
        <v>450</v>
      </c>
      <c r="U48">
        <v>75</v>
      </c>
      <c r="V48">
        <v>75</v>
      </c>
      <c r="W48">
        <v>4830</v>
      </c>
      <c r="X48">
        <v>172.5</v>
      </c>
      <c r="Y48">
        <v>790</v>
      </c>
      <c r="Z48">
        <v>840</v>
      </c>
      <c r="AA48">
        <v>33.6</v>
      </c>
      <c r="AB48">
        <v>132</v>
      </c>
      <c r="AC48">
        <v>18905</v>
      </c>
      <c r="AD48">
        <v>168.79464285714286</v>
      </c>
      <c r="AE48">
        <v>3877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671CA-ED42-4A33-A2AC-1578F298C10A}">
  <dimension ref="A3:G13"/>
  <sheetViews>
    <sheetView workbookViewId="0">
      <selection activeCell="I6" sqref="I6"/>
    </sheetView>
  </sheetViews>
  <sheetFormatPr defaultRowHeight="14.4" x14ac:dyDescent="0.3"/>
  <cols>
    <col min="1" max="1" width="16.109375" bestFit="1" customWidth="1"/>
    <col min="2" max="2" width="15.5546875" bestFit="1" customWidth="1"/>
    <col min="3" max="3" width="5" bestFit="1" customWidth="1"/>
    <col min="4" max="4" width="5.6640625" bestFit="1" customWidth="1"/>
    <col min="5" max="5" width="5.77734375" bestFit="1" customWidth="1"/>
    <col min="6" max="6" width="5.21875" bestFit="1" customWidth="1"/>
    <col min="7" max="7" width="10.5546875" bestFit="1" customWidth="1"/>
  </cols>
  <sheetData>
    <row r="3" spans="1:7" x14ac:dyDescent="0.3">
      <c r="A3" s="10" t="s">
        <v>50</v>
      </c>
      <c r="B3" s="10" t="s">
        <v>100</v>
      </c>
    </row>
    <row r="4" spans="1:7" x14ac:dyDescent="0.3">
      <c r="A4" s="10" t="s">
        <v>99</v>
      </c>
      <c r="B4" t="s">
        <v>18</v>
      </c>
      <c r="C4" t="s">
        <v>12</v>
      </c>
      <c r="D4" t="s">
        <v>7</v>
      </c>
      <c r="E4" t="s">
        <v>10</v>
      </c>
      <c r="F4" t="s">
        <v>15</v>
      </c>
      <c r="G4" t="s">
        <v>49</v>
      </c>
    </row>
    <row r="5" spans="1:7" x14ac:dyDescent="0.3">
      <c r="A5" s="24" t="s">
        <v>119</v>
      </c>
      <c r="B5">
        <v>5460</v>
      </c>
      <c r="C5">
        <v>7290</v>
      </c>
      <c r="D5">
        <v>9830</v>
      </c>
      <c r="E5">
        <v>6605</v>
      </c>
      <c r="F5">
        <v>3495</v>
      </c>
      <c r="G5">
        <v>32680</v>
      </c>
    </row>
    <row r="6" spans="1:7" x14ac:dyDescent="0.3">
      <c r="A6" s="26" t="s">
        <v>116</v>
      </c>
      <c r="B6">
        <v>1920</v>
      </c>
      <c r="C6">
        <v>540</v>
      </c>
      <c r="D6">
        <v>1700</v>
      </c>
      <c r="E6">
        <v>2700</v>
      </c>
      <c r="F6">
        <v>840</v>
      </c>
      <c r="G6">
        <v>7700</v>
      </c>
    </row>
    <row r="7" spans="1:7" x14ac:dyDescent="0.3">
      <c r="A7" s="26" t="s">
        <v>117</v>
      </c>
      <c r="C7">
        <v>420</v>
      </c>
      <c r="D7">
        <v>5000</v>
      </c>
      <c r="E7">
        <v>600</v>
      </c>
      <c r="G7">
        <v>6020</v>
      </c>
    </row>
    <row r="8" spans="1:7" x14ac:dyDescent="0.3">
      <c r="A8" s="26" t="s">
        <v>112</v>
      </c>
      <c r="B8">
        <v>665</v>
      </c>
      <c r="C8">
        <v>4320</v>
      </c>
      <c r="D8">
        <v>540</v>
      </c>
      <c r="F8">
        <v>420</v>
      </c>
      <c r="G8">
        <v>5945</v>
      </c>
    </row>
    <row r="9" spans="1:7" x14ac:dyDescent="0.3">
      <c r="A9" s="26" t="s">
        <v>115</v>
      </c>
      <c r="B9">
        <v>980</v>
      </c>
      <c r="C9">
        <v>660</v>
      </c>
      <c r="D9">
        <v>1360</v>
      </c>
      <c r="E9">
        <v>520</v>
      </c>
      <c r="F9">
        <v>725</v>
      </c>
      <c r="G9">
        <v>4245</v>
      </c>
    </row>
    <row r="10" spans="1:7" x14ac:dyDescent="0.3">
      <c r="A10" s="26" t="s">
        <v>114</v>
      </c>
      <c r="B10">
        <v>1120</v>
      </c>
      <c r="C10">
        <v>450</v>
      </c>
      <c r="D10">
        <v>960</v>
      </c>
      <c r="E10">
        <v>440</v>
      </c>
      <c r="F10">
        <v>550</v>
      </c>
      <c r="G10">
        <v>3520</v>
      </c>
    </row>
    <row r="11" spans="1:7" x14ac:dyDescent="0.3">
      <c r="A11" s="26" t="s">
        <v>111</v>
      </c>
      <c r="B11">
        <v>250</v>
      </c>
      <c r="D11">
        <v>270</v>
      </c>
      <c r="E11">
        <v>1920</v>
      </c>
      <c r="F11">
        <v>720</v>
      </c>
      <c r="G11">
        <v>3160</v>
      </c>
    </row>
    <row r="12" spans="1:7" x14ac:dyDescent="0.3">
      <c r="A12" s="26" t="s">
        <v>113</v>
      </c>
      <c r="B12">
        <v>525</v>
      </c>
      <c r="C12">
        <v>900</v>
      </c>
      <c r="E12">
        <v>425</v>
      </c>
      <c r="F12">
        <v>240</v>
      </c>
      <c r="G12">
        <v>2090</v>
      </c>
    </row>
    <row r="13" spans="1:7" x14ac:dyDescent="0.3">
      <c r="A13" s="24" t="s">
        <v>49</v>
      </c>
      <c r="B13">
        <v>5460</v>
      </c>
      <c r="C13">
        <v>7290</v>
      </c>
      <c r="D13">
        <v>9830</v>
      </c>
      <c r="E13">
        <v>6605</v>
      </c>
      <c r="F13">
        <v>3495</v>
      </c>
      <c r="G13">
        <v>32680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CAB2F-350F-4F38-95BF-62FDF009EF6F}">
  <dimension ref="A1:G31"/>
  <sheetViews>
    <sheetView tabSelected="1" zoomScaleNormal="100" workbookViewId="0">
      <selection activeCell="L4" sqref="L4"/>
    </sheetView>
  </sheetViews>
  <sheetFormatPr defaultRowHeight="14.4" x14ac:dyDescent="0.3"/>
  <cols>
    <col min="1" max="1" width="10" style="5" bestFit="1" customWidth="1"/>
    <col min="2" max="2" width="6.88671875" style="9" bestFit="1" customWidth="1"/>
    <col min="3" max="3" width="14.77734375" style="5" bestFit="1" customWidth="1"/>
    <col min="4" max="4" width="11.33203125" style="5" bestFit="1" customWidth="1"/>
    <col min="5" max="5" width="8.109375" style="5" bestFit="1" customWidth="1"/>
    <col min="6" max="6" width="9.109375" style="5" bestFit="1" customWidth="1"/>
    <col min="7" max="7" width="10" style="5" bestFit="1" customWidth="1"/>
    <col min="8" max="16384" width="8.88671875" style="5"/>
  </cols>
  <sheetData>
    <row r="1" spans="1:7" x14ac:dyDescent="0.3">
      <c r="A1" s="6" t="s">
        <v>0</v>
      </c>
      <c r="B1" s="7" t="s">
        <v>1</v>
      </c>
      <c r="C1" s="7" t="s">
        <v>2</v>
      </c>
      <c r="D1" s="7" t="s">
        <v>3</v>
      </c>
      <c r="E1" s="6" t="s">
        <v>4</v>
      </c>
      <c r="F1" s="6" t="s">
        <v>5</v>
      </c>
      <c r="G1" s="6" t="s">
        <v>6</v>
      </c>
    </row>
    <row r="2" spans="1:7" x14ac:dyDescent="0.3">
      <c r="A2" s="4">
        <v>46027</v>
      </c>
      <c r="B2" s="8" t="s">
        <v>7</v>
      </c>
      <c r="C2" s="8" t="s">
        <v>8</v>
      </c>
      <c r="D2" s="8" t="s">
        <v>9</v>
      </c>
      <c r="E2" s="27">
        <v>5.8823529411764701</v>
      </c>
      <c r="F2" s="28">
        <v>850</v>
      </c>
      <c r="G2" s="28">
        <f>E2*F2</f>
        <v>5000</v>
      </c>
    </row>
    <row r="3" spans="1:7" x14ac:dyDescent="0.3">
      <c r="A3" s="4">
        <v>46034</v>
      </c>
      <c r="B3" s="8" t="s">
        <v>10</v>
      </c>
      <c r="C3" s="8" t="s">
        <v>11</v>
      </c>
      <c r="D3" s="8" t="s">
        <v>47</v>
      </c>
      <c r="E3" s="1">
        <v>5</v>
      </c>
      <c r="F3" s="1">
        <v>120</v>
      </c>
      <c r="G3" s="1">
        <f t="shared" ref="G3:G31" si="0">E3*F3</f>
        <v>600</v>
      </c>
    </row>
    <row r="4" spans="1:7" x14ac:dyDescent="0.3">
      <c r="A4" s="4">
        <v>46040</v>
      </c>
      <c r="B4" s="8" t="s">
        <v>12</v>
      </c>
      <c r="C4" s="8" t="s">
        <v>13</v>
      </c>
      <c r="D4" s="8" t="s">
        <v>9</v>
      </c>
      <c r="E4" s="1">
        <v>2</v>
      </c>
      <c r="F4" s="1">
        <v>210</v>
      </c>
      <c r="G4" s="1">
        <f t="shared" si="0"/>
        <v>420</v>
      </c>
    </row>
    <row r="5" spans="1:7" x14ac:dyDescent="0.3">
      <c r="A5" s="4">
        <v>46056</v>
      </c>
      <c r="B5" s="8" t="s">
        <v>15</v>
      </c>
      <c r="C5" s="8" t="s">
        <v>16</v>
      </c>
      <c r="D5" s="8" t="s">
        <v>9</v>
      </c>
      <c r="E5" s="1">
        <v>4</v>
      </c>
      <c r="F5" s="1">
        <v>180</v>
      </c>
      <c r="G5" s="1">
        <f t="shared" si="0"/>
        <v>720</v>
      </c>
    </row>
    <row r="6" spans="1:7" x14ac:dyDescent="0.3">
      <c r="A6" s="4">
        <v>46063</v>
      </c>
      <c r="B6" s="8" t="s">
        <v>18</v>
      </c>
      <c r="C6" s="8" t="s">
        <v>19</v>
      </c>
      <c r="D6" s="8" t="s">
        <v>30</v>
      </c>
      <c r="E6" s="1">
        <v>10</v>
      </c>
      <c r="F6" s="1">
        <v>25</v>
      </c>
      <c r="G6" s="1">
        <f t="shared" si="0"/>
        <v>250</v>
      </c>
    </row>
    <row r="7" spans="1:7" x14ac:dyDescent="0.3">
      <c r="A7" s="4">
        <v>46067</v>
      </c>
      <c r="B7" s="8" t="s">
        <v>7</v>
      </c>
      <c r="C7" s="8" t="s">
        <v>20</v>
      </c>
      <c r="D7" s="8" t="s">
        <v>21</v>
      </c>
      <c r="E7" s="1">
        <v>15</v>
      </c>
      <c r="F7" s="1">
        <v>18</v>
      </c>
      <c r="G7" s="1">
        <f t="shared" si="0"/>
        <v>270</v>
      </c>
    </row>
    <row r="8" spans="1:7" x14ac:dyDescent="0.3">
      <c r="A8" s="4">
        <v>46075</v>
      </c>
      <c r="B8" s="8" t="s">
        <v>10</v>
      </c>
      <c r="C8" s="8" t="s">
        <v>22</v>
      </c>
      <c r="D8" s="8" t="s">
        <v>23</v>
      </c>
      <c r="E8" s="1">
        <v>6</v>
      </c>
      <c r="F8" s="1">
        <v>320</v>
      </c>
      <c r="G8" s="1">
        <f t="shared" si="0"/>
        <v>1920</v>
      </c>
    </row>
    <row r="9" spans="1:7" x14ac:dyDescent="0.3">
      <c r="A9" s="4">
        <v>46083</v>
      </c>
      <c r="B9" s="8" t="s">
        <v>12</v>
      </c>
      <c r="C9" s="8" t="s">
        <v>24</v>
      </c>
      <c r="D9" s="8" t="s">
        <v>30</v>
      </c>
      <c r="E9" s="1">
        <v>8</v>
      </c>
      <c r="F9" s="1">
        <v>540</v>
      </c>
      <c r="G9" s="1">
        <f t="shared" si="0"/>
        <v>4320</v>
      </c>
    </row>
    <row r="10" spans="1:7" x14ac:dyDescent="0.3">
      <c r="A10" s="4">
        <v>46089</v>
      </c>
      <c r="B10" s="8" t="s">
        <v>15</v>
      </c>
      <c r="C10" s="8" t="s">
        <v>26</v>
      </c>
      <c r="D10" s="8" t="s">
        <v>21</v>
      </c>
      <c r="E10" s="1">
        <v>12</v>
      </c>
      <c r="F10" s="1">
        <v>35</v>
      </c>
      <c r="G10" s="1">
        <f t="shared" si="0"/>
        <v>420</v>
      </c>
    </row>
    <row r="11" spans="1:7" x14ac:dyDescent="0.3">
      <c r="A11" s="4">
        <v>46096</v>
      </c>
      <c r="B11" s="8" t="s">
        <v>18</v>
      </c>
      <c r="C11" s="8" t="s">
        <v>27</v>
      </c>
      <c r="D11" s="8" t="s">
        <v>30</v>
      </c>
      <c r="E11" s="1">
        <v>7</v>
      </c>
      <c r="F11" s="1">
        <v>95</v>
      </c>
      <c r="G11" s="1">
        <f t="shared" si="0"/>
        <v>665</v>
      </c>
    </row>
    <row r="12" spans="1:7" x14ac:dyDescent="0.3">
      <c r="A12" s="4">
        <v>46102</v>
      </c>
      <c r="B12" s="8" t="s">
        <v>7</v>
      </c>
      <c r="C12" s="8" t="s">
        <v>28</v>
      </c>
      <c r="D12" s="8" t="s">
        <v>9</v>
      </c>
      <c r="E12" s="1">
        <v>9</v>
      </c>
      <c r="F12" s="1">
        <v>60</v>
      </c>
      <c r="G12" s="1">
        <f t="shared" si="0"/>
        <v>540</v>
      </c>
    </row>
    <row r="13" spans="1:7" x14ac:dyDescent="0.3">
      <c r="A13" s="4">
        <v>46116</v>
      </c>
      <c r="B13" s="8" t="s">
        <v>10</v>
      </c>
      <c r="C13" s="8" t="s">
        <v>29</v>
      </c>
      <c r="D13" s="8" t="s">
        <v>30</v>
      </c>
      <c r="E13" s="1">
        <v>5</v>
      </c>
      <c r="F13" s="1">
        <v>85</v>
      </c>
      <c r="G13" s="1">
        <f t="shared" si="0"/>
        <v>425</v>
      </c>
    </row>
    <row r="14" spans="1:7" x14ac:dyDescent="0.3">
      <c r="A14" s="4">
        <v>46121</v>
      </c>
      <c r="B14" s="8" t="s">
        <v>12</v>
      </c>
      <c r="C14" s="8" t="s">
        <v>31</v>
      </c>
      <c r="D14" s="8" t="s">
        <v>32</v>
      </c>
      <c r="E14" s="1">
        <v>2</v>
      </c>
      <c r="F14" s="1">
        <v>450</v>
      </c>
      <c r="G14" s="1">
        <f t="shared" si="0"/>
        <v>900</v>
      </c>
    </row>
    <row r="15" spans="1:7" x14ac:dyDescent="0.3">
      <c r="A15" s="4">
        <v>46125</v>
      </c>
      <c r="B15" s="8" t="s">
        <v>15</v>
      </c>
      <c r="C15" s="8" t="s">
        <v>33</v>
      </c>
      <c r="D15" s="8" t="s">
        <v>47</v>
      </c>
      <c r="E15" s="1">
        <v>20</v>
      </c>
      <c r="F15" s="1">
        <v>12</v>
      </c>
      <c r="G15" s="1">
        <f t="shared" si="0"/>
        <v>240</v>
      </c>
    </row>
    <row r="16" spans="1:7" x14ac:dyDescent="0.3">
      <c r="A16" s="4">
        <v>46132</v>
      </c>
      <c r="B16" s="8" t="s">
        <v>18</v>
      </c>
      <c r="C16" s="8" t="s">
        <v>34</v>
      </c>
      <c r="D16" s="8" t="s">
        <v>35</v>
      </c>
      <c r="E16" s="1">
        <v>3</v>
      </c>
      <c r="F16" s="1">
        <v>175</v>
      </c>
      <c r="G16" s="1">
        <f t="shared" si="0"/>
        <v>525</v>
      </c>
    </row>
    <row r="17" spans="1:7" x14ac:dyDescent="0.3">
      <c r="A17" s="4">
        <v>46143</v>
      </c>
      <c r="B17" s="8" t="s">
        <v>7</v>
      </c>
      <c r="C17" s="8" t="s">
        <v>36</v>
      </c>
      <c r="D17" s="8" t="s">
        <v>21</v>
      </c>
      <c r="E17" s="1">
        <v>4</v>
      </c>
      <c r="F17" s="1">
        <v>240</v>
      </c>
      <c r="G17" s="1">
        <f t="shared" si="0"/>
        <v>960</v>
      </c>
    </row>
    <row r="18" spans="1:7" x14ac:dyDescent="0.3">
      <c r="A18" s="4">
        <v>46149</v>
      </c>
      <c r="B18" s="8" t="s">
        <v>10</v>
      </c>
      <c r="C18" s="8" t="s">
        <v>37</v>
      </c>
      <c r="D18" s="8" t="s">
        <v>23</v>
      </c>
      <c r="E18" s="1">
        <v>11</v>
      </c>
      <c r="F18" s="1">
        <v>40</v>
      </c>
      <c r="G18" s="1">
        <f t="shared" si="0"/>
        <v>440</v>
      </c>
    </row>
    <row r="19" spans="1:7" x14ac:dyDescent="0.3">
      <c r="A19" s="4">
        <v>46154</v>
      </c>
      <c r="B19" s="8" t="s">
        <v>12</v>
      </c>
      <c r="C19" s="8" t="s">
        <v>38</v>
      </c>
      <c r="D19" s="8" t="s">
        <v>39</v>
      </c>
      <c r="E19" s="1">
        <v>6</v>
      </c>
      <c r="F19" s="1">
        <v>75</v>
      </c>
      <c r="G19" s="1">
        <f t="shared" si="0"/>
        <v>450</v>
      </c>
    </row>
    <row r="20" spans="1:7" x14ac:dyDescent="0.3">
      <c r="A20" s="4">
        <v>46160</v>
      </c>
      <c r="B20" s="8" t="s">
        <v>15</v>
      </c>
      <c r="C20" s="8" t="s">
        <v>40</v>
      </c>
      <c r="D20" s="8" t="s">
        <v>23</v>
      </c>
      <c r="E20" s="1">
        <v>5</v>
      </c>
      <c r="F20" s="1">
        <v>110</v>
      </c>
      <c r="G20" s="1">
        <f t="shared" si="0"/>
        <v>550</v>
      </c>
    </row>
    <row r="21" spans="1:7" x14ac:dyDescent="0.3">
      <c r="A21" s="4">
        <v>46166</v>
      </c>
      <c r="B21" s="8" t="s">
        <v>18</v>
      </c>
      <c r="C21" s="8" t="s">
        <v>41</v>
      </c>
      <c r="D21" s="8" t="s">
        <v>42</v>
      </c>
      <c r="E21" s="1">
        <v>7</v>
      </c>
      <c r="F21" s="1">
        <v>160</v>
      </c>
      <c r="G21" s="1">
        <f t="shared" si="0"/>
        <v>1120</v>
      </c>
    </row>
    <row r="22" spans="1:7" x14ac:dyDescent="0.3">
      <c r="A22" s="4">
        <v>46176</v>
      </c>
      <c r="B22" s="8" t="s">
        <v>7</v>
      </c>
      <c r="C22" s="8" t="s">
        <v>43</v>
      </c>
      <c r="D22" s="8" t="s">
        <v>32</v>
      </c>
      <c r="E22" s="1">
        <v>2</v>
      </c>
      <c r="F22" s="1">
        <v>680</v>
      </c>
      <c r="G22" s="1">
        <f t="shared" si="0"/>
        <v>1360</v>
      </c>
    </row>
    <row r="23" spans="1:7" x14ac:dyDescent="0.3">
      <c r="A23" s="4">
        <v>46183</v>
      </c>
      <c r="B23" s="8" t="s">
        <v>10</v>
      </c>
      <c r="C23" s="8" t="s">
        <v>44</v>
      </c>
      <c r="D23" s="8" t="s">
        <v>30</v>
      </c>
      <c r="E23" s="1">
        <v>4</v>
      </c>
      <c r="F23" s="1">
        <v>130</v>
      </c>
      <c r="G23" s="1">
        <f t="shared" si="0"/>
        <v>520</v>
      </c>
    </row>
    <row r="24" spans="1:7" x14ac:dyDescent="0.3">
      <c r="A24" s="4">
        <v>46188</v>
      </c>
      <c r="B24" s="8" t="s">
        <v>12</v>
      </c>
      <c r="C24" s="8" t="s">
        <v>45</v>
      </c>
      <c r="D24" s="8" t="s">
        <v>9</v>
      </c>
      <c r="E24" s="1">
        <v>3</v>
      </c>
      <c r="F24" s="1">
        <v>220</v>
      </c>
      <c r="G24" s="1">
        <f t="shared" si="0"/>
        <v>660</v>
      </c>
    </row>
    <row r="25" spans="1:7" x14ac:dyDescent="0.3">
      <c r="A25" s="4">
        <v>46194</v>
      </c>
      <c r="B25" s="8" t="s">
        <v>15</v>
      </c>
      <c r="C25" s="8" t="s">
        <v>46</v>
      </c>
      <c r="D25" s="8" t="s">
        <v>21</v>
      </c>
      <c r="E25" s="1">
        <v>5</v>
      </c>
      <c r="F25" s="1">
        <v>145</v>
      </c>
      <c r="G25" s="1">
        <f t="shared" si="0"/>
        <v>725</v>
      </c>
    </row>
    <row r="26" spans="1:7" x14ac:dyDescent="0.3">
      <c r="A26" s="4">
        <v>46201</v>
      </c>
      <c r="B26" s="8" t="s">
        <v>18</v>
      </c>
      <c r="C26" s="8" t="s">
        <v>48</v>
      </c>
      <c r="D26" s="8" t="s">
        <v>9</v>
      </c>
      <c r="E26" s="1">
        <v>1</v>
      </c>
      <c r="F26" s="1">
        <v>980</v>
      </c>
      <c r="G26" s="1">
        <f t="shared" si="0"/>
        <v>980</v>
      </c>
    </row>
    <row r="27" spans="1:7" x14ac:dyDescent="0.3">
      <c r="A27" s="4">
        <v>46206</v>
      </c>
      <c r="B27" s="2" t="s">
        <v>7</v>
      </c>
      <c r="C27" s="2" t="s">
        <v>51</v>
      </c>
      <c r="D27" s="2" t="s">
        <v>9</v>
      </c>
      <c r="E27" s="1">
        <v>2</v>
      </c>
      <c r="F27" s="1">
        <v>850</v>
      </c>
      <c r="G27" s="1">
        <f t="shared" si="0"/>
        <v>1700</v>
      </c>
    </row>
    <row r="28" spans="1:7" x14ac:dyDescent="0.3">
      <c r="A28" s="4">
        <v>46211</v>
      </c>
      <c r="B28" s="2" t="s">
        <v>10</v>
      </c>
      <c r="C28" s="2" t="s">
        <v>52</v>
      </c>
      <c r="D28" s="2" t="s">
        <v>25</v>
      </c>
      <c r="E28" s="1">
        <v>5</v>
      </c>
      <c r="F28" s="1">
        <v>540</v>
      </c>
      <c r="G28" s="1">
        <f t="shared" si="0"/>
        <v>2700</v>
      </c>
    </row>
    <row r="29" spans="1:7" x14ac:dyDescent="0.3">
      <c r="A29" s="4">
        <v>46217</v>
      </c>
      <c r="B29" s="2" t="s">
        <v>12</v>
      </c>
      <c r="C29" s="2" t="s">
        <v>53</v>
      </c>
      <c r="D29" s="2" t="s">
        <v>17</v>
      </c>
      <c r="E29" s="1">
        <v>3</v>
      </c>
      <c r="F29" s="1">
        <v>180</v>
      </c>
      <c r="G29" s="1">
        <f t="shared" si="0"/>
        <v>540</v>
      </c>
    </row>
    <row r="30" spans="1:7" x14ac:dyDescent="0.3">
      <c r="A30" s="4">
        <v>46222</v>
      </c>
      <c r="B30" s="2" t="s">
        <v>15</v>
      </c>
      <c r="C30" s="2" t="s">
        <v>54</v>
      </c>
      <c r="D30" s="2" t="s">
        <v>14</v>
      </c>
      <c r="E30" s="1">
        <v>4</v>
      </c>
      <c r="F30" s="1">
        <v>210</v>
      </c>
      <c r="G30" s="1">
        <f t="shared" si="0"/>
        <v>840</v>
      </c>
    </row>
    <row r="31" spans="1:7" x14ac:dyDescent="0.3">
      <c r="A31" s="4">
        <v>46229</v>
      </c>
      <c r="B31" s="2" t="s">
        <v>18</v>
      </c>
      <c r="C31" s="2" t="s">
        <v>55</v>
      </c>
      <c r="D31" s="2" t="s">
        <v>23</v>
      </c>
      <c r="E31" s="1">
        <v>6</v>
      </c>
      <c r="F31" s="1">
        <v>320</v>
      </c>
      <c r="G31" s="1">
        <f t="shared" si="0"/>
        <v>1920</v>
      </c>
    </row>
  </sheetData>
  <scenarios current="0" show="0" sqref="G3">
    <scenario name="Low Sales Scenerio" locked="1" count="22" user="amjad" comment="Created by amjad on 5/25/2026_x000a_Modified by amjad on 5/25/2026">
      <inputCells r="E3" val="5"/>
      <inputCells r="E4" val="2"/>
      <inputCells r="E5" val="4"/>
      <inputCells r="E6" val="10"/>
      <inputCells r="E7" val="15"/>
      <inputCells r="E8" val="6"/>
      <inputCells r="E9" val="8"/>
      <inputCells r="E10" val="12"/>
      <inputCells r="E11" val="7"/>
      <inputCells r="E12" val="9"/>
      <inputCells r="E13" val="5"/>
      <inputCells r="F3" val="120"/>
      <inputCells r="F4" val="210"/>
      <inputCells r="F5" val="180"/>
      <inputCells r="F6" val="25"/>
      <inputCells r="F7" val="18"/>
      <inputCells r="F8" val="320"/>
      <inputCells r="F9" val="540"/>
      <inputCells r="F10" val="35"/>
      <inputCells r="F11" val="95"/>
      <inputCells r="F12" val="60"/>
      <inputCells r="F13" val="85"/>
    </scenario>
    <scenario name="Medium Sale Scenerio" locked="1" count="22" user="amjad" comment="Created by amjad on 5/25/2026">
      <inputCells r="E3" val="7"/>
      <inputCells r="E4" val="4"/>
      <inputCells r="E5" val="7"/>
      <inputCells r="E6" val="15"/>
      <inputCells r="E7" val="18"/>
      <inputCells r="E8" val="9"/>
      <inputCells r="E9" val="11"/>
      <inputCells r="E10" val="15"/>
      <inputCells r="E11" val="9"/>
      <inputCells r="E12" val="12"/>
      <inputCells r="E13" val="8"/>
      <inputCells r="F3" val="122"/>
      <inputCells r="F4" val="213"/>
      <inputCells r="F5" val="185"/>
      <inputCells r="F6" val="25"/>
      <inputCells r="F7" val="22"/>
      <inputCells r="F8" val="330"/>
      <inputCells r="F9" val="545"/>
      <inputCells r="F10" val="40"/>
      <inputCells r="F11" val="100"/>
      <inputCells r="F12" val="65"/>
      <inputCells r="F13" val="90"/>
    </scenario>
    <scenario name="High Sale Scenerio" locked="1" count="22" user="amjad" comment="Created by amjad on 5/25/2026">
      <inputCells r="E3" val="15"/>
      <inputCells r="E4" val="10"/>
      <inputCells r="E5" val="17"/>
      <inputCells r="E6" val="25"/>
      <inputCells r="E7" val="30"/>
      <inputCells r="E8" val="20"/>
      <inputCells r="E9" val="25"/>
      <inputCells r="E10" val="28"/>
      <inputCells r="E11" val="18"/>
      <inputCells r="E12" val="22"/>
      <inputCells r="E13" val="21"/>
      <inputCells r="F3" val="128"/>
      <inputCells r="F4" val="218"/>
      <inputCells r="F5" val="195"/>
      <inputCells r="F6" val="35"/>
      <inputCells r="F7" val="28"/>
      <inputCells r="F8" val="335"/>
      <inputCells r="F9" val="560"/>
      <inputCells r="F10" val="50"/>
      <inputCells r="F11" val="118"/>
      <inputCells r="F12" val="70"/>
      <inputCells r="F13" val="100"/>
    </scenario>
  </scenario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07E62-1982-4A3D-A90E-DB111F300BC2}">
  <dimension ref="D4:E10"/>
  <sheetViews>
    <sheetView workbookViewId="0">
      <selection activeCell="H10" sqref="H10"/>
    </sheetView>
  </sheetViews>
  <sheetFormatPr defaultRowHeight="14.4" x14ac:dyDescent="0.3"/>
  <cols>
    <col min="3" max="3" width="9" customWidth="1"/>
  </cols>
  <sheetData>
    <row r="4" spans="4:5" x14ac:dyDescent="0.3">
      <c r="D4" s="11" t="s">
        <v>1</v>
      </c>
      <c r="E4" s="11" t="s">
        <v>6</v>
      </c>
    </row>
    <row r="5" spans="4:5" x14ac:dyDescent="0.3">
      <c r="D5" t="str" cm="1">
        <f t="array" ref="D5:E10">_xlfn.PIVOTBY('Sales Raw Data'!B2:B31,,'Sales Raw Data'!G2:G31,_xleta.SUM)</f>
        <v>Central</v>
      </c>
      <c r="E5">
        <v>5460</v>
      </c>
    </row>
    <row r="6" spans="4:5" x14ac:dyDescent="0.3">
      <c r="D6" t="str">
        <v>East</v>
      </c>
      <c r="E6">
        <v>7290</v>
      </c>
    </row>
    <row r="7" spans="4:5" x14ac:dyDescent="0.3">
      <c r="D7" t="str">
        <v>North</v>
      </c>
      <c r="E7">
        <v>9830</v>
      </c>
    </row>
    <row r="8" spans="4:5" x14ac:dyDescent="0.3">
      <c r="D8" t="str">
        <v>South</v>
      </c>
      <c r="E8">
        <v>6605</v>
      </c>
    </row>
    <row r="9" spans="4:5" x14ac:dyDescent="0.3">
      <c r="D9" t="str">
        <v>West</v>
      </c>
      <c r="E9">
        <v>3495</v>
      </c>
    </row>
    <row r="10" spans="4:5" x14ac:dyDescent="0.3">
      <c r="D10" t="str">
        <v>Total</v>
      </c>
      <c r="E10">
        <v>32680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CBE76-633F-4DFC-AB6B-71C748E28D38}">
  <dimension ref="B3:C6"/>
  <sheetViews>
    <sheetView workbookViewId="0">
      <selection activeCell="E7" sqref="E7"/>
    </sheetView>
  </sheetViews>
  <sheetFormatPr defaultRowHeight="14.4" x14ac:dyDescent="0.3"/>
  <cols>
    <col min="2" max="2" width="18.88671875" customWidth="1"/>
    <col min="3" max="3" width="12.6640625" customWidth="1"/>
  </cols>
  <sheetData>
    <row r="3" spans="2:3" x14ac:dyDescent="0.3">
      <c r="B3" s="11" t="s">
        <v>56</v>
      </c>
      <c r="C3" s="12" t="s">
        <v>57</v>
      </c>
    </row>
    <row r="4" spans="2:3" x14ac:dyDescent="0.3">
      <c r="B4" t="s">
        <v>58</v>
      </c>
      <c r="C4" s="3">
        <v>5000</v>
      </c>
    </row>
    <row r="5" spans="2:3" x14ac:dyDescent="0.3">
      <c r="B5" t="s">
        <v>59</v>
      </c>
      <c r="C5" s="3" t="s">
        <v>61</v>
      </c>
    </row>
    <row r="6" spans="2:3" x14ac:dyDescent="0.3">
      <c r="B6" t="s">
        <v>60</v>
      </c>
      <c r="C6" s="3">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Scenario Summary</vt:lpstr>
      <vt:lpstr>Pivot Report</vt:lpstr>
      <vt:lpstr>Order Date Grouping</vt:lpstr>
      <vt:lpstr>Sales Raw Data</vt:lpstr>
      <vt:lpstr>Summary by using Pivotby Functi</vt:lpstr>
      <vt:lpstr>Goal Seek Results</vt:lpstr>
      <vt:lpstr>Laptop</vt:lpstr>
      <vt:lpstr>Mouse</vt:lpstr>
      <vt:lpstr>Router</vt:lpstr>
      <vt:lpstr>Tablet</vt:lpstr>
      <vt:lpstr>Water_Filter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t39264</dc:creator>
  <cp:lastModifiedBy>t39264</cp:lastModifiedBy>
  <dcterms:created xsi:type="dcterms:W3CDTF">2026-05-24T15:41:51Z</dcterms:created>
  <dcterms:modified xsi:type="dcterms:W3CDTF">2026-05-25T09:45:47Z</dcterms:modified>
</cp:coreProperties>
</file>