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stad - Data Analytics\Assignment-1\"/>
    </mc:Choice>
  </mc:AlternateContent>
  <bookViews>
    <workbookView xWindow="0" yWindow="0" windowWidth="23040" windowHeight="8556"/>
  </bookViews>
  <sheets>
    <sheet name="Student Performance Report" sheetId="1" r:id="rId1"/>
  </sheets>
  <definedNames>
    <definedName name="_xlnm._FilterDatabase" localSheetId="0" hidden="1">'Student Performance Report'!$A$1:$H$10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  <c r="F7" i="1" l="1"/>
  <c r="F2" i="1"/>
  <c r="F9" i="1"/>
  <c r="F10" i="1"/>
  <c r="F3" i="1"/>
  <c r="F5" i="1"/>
  <c r="F8" i="1"/>
  <c r="F6" i="1"/>
  <c r="F4" i="1"/>
</calcChain>
</file>

<file path=xl/sharedStrings.xml><?xml version="1.0" encoding="utf-8"?>
<sst xmlns="http://schemas.openxmlformats.org/spreadsheetml/2006/main" count="25" uniqueCount="23">
  <si>
    <t>Student Name</t>
  </si>
  <si>
    <t>Subject</t>
  </si>
  <si>
    <t>Marks</t>
  </si>
  <si>
    <t>Status</t>
  </si>
  <si>
    <t xml:space="preserve">Attendance (%) </t>
  </si>
  <si>
    <t>Rahim</t>
  </si>
  <si>
    <t>Karim</t>
  </si>
  <si>
    <t>Ayesha</t>
  </si>
  <si>
    <t>Tanvir</t>
  </si>
  <si>
    <t>Nabila</t>
  </si>
  <si>
    <t>Math</t>
  </si>
  <si>
    <t>Science</t>
  </si>
  <si>
    <t xml:space="preserve">English </t>
  </si>
  <si>
    <t>Rajib</t>
  </si>
  <si>
    <t>Akash</t>
  </si>
  <si>
    <t>Mim</t>
  </si>
  <si>
    <t>Habiba</t>
  </si>
  <si>
    <t>Bangla</t>
  </si>
  <si>
    <t>History</t>
  </si>
  <si>
    <t>Chemistry</t>
  </si>
  <si>
    <t>Physics</t>
  </si>
  <si>
    <t>Bonus Marks</t>
  </si>
  <si>
    <t>Studentt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</si>
</sst>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&quot;%&quot;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68"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tabSelected="1" zoomScaleNormal="100" workbookViewId="0">
      <selection activeCell="F15" sqref="F15"/>
    </sheetView>
  </sheetViews>
  <sheetFormatPr defaultRowHeight="14.4" x14ac:dyDescent="0.3"/>
  <cols>
    <col min="1" max="1" width="20.77734375" bestFit="1" customWidth="1"/>
    <col min="2" max="2" width="13.33203125" bestFit="1" customWidth="1"/>
    <col min="3" max="3" width="12" bestFit="1" customWidth="1"/>
    <col min="4" max="4" width="22.5546875" bestFit="1" customWidth="1"/>
    <col min="5" max="5" width="12" bestFit="1" customWidth="1"/>
    <col min="6" max="6" width="19.109375" bestFit="1" customWidth="1"/>
    <col min="7" max="7" width="8.44140625" customWidth="1"/>
    <col min="8" max="8" width="20.6640625" bestFit="1" customWidth="1"/>
  </cols>
  <sheetData>
    <row r="1" spans="1:8" ht="18" x14ac:dyDescent="0.35">
      <c r="A1" s="6" t="s">
        <v>0</v>
      </c>
      <c r="B1" s="6" t="s">
        <v>1</v>
      </c>
      <c r="C1" s="6" t="s">
        <v>2</v>
      </c>
      <c r="D1" s="6" t="s">
        <v>4</v>
      </c>
      <c r="E1" s="6" t="s">
        <v>3</v>
      </c>
      <c r="F1" s="6" t="s">
        <v>21</v>
      </c>
      <c r="G1" s="5">
        <v>5</v>
      </c>
      <c r="H1" s="6" t="s">
        <v>22</v>
      </c>
    </row>
    <row r="2" spans="1:8" x14ac:dyDescent="0.3">
      <c r="A2" s="2" t="s">
        <v>7</v>
      </c>
      <c r="B2" s="2" t="s">
        <v>12</v>
      </c>
      <c r="C2" s="3">
        <v>90</v>
      </c>
      <c r="D2" s="4">
        <v>95</v>
      </c>
      <c r="E2" s="2"/>
      <c r="F2" s="2">
        <f>C2+$G$1</f>
        <v>95</v>
      </c>
      <c r="G2" s="2"/>
      <c r="H2" s="2" t="str">
        <f>UPPER(LEFT(A2,3))&amp;TEXT(ROW(A1),"00")</f>
        <v>AYE01</v>
      </c>
    </row>
    <row r="3" spans="1:8" x14ac:dyDescent="0.3">
      <c r="A3" s="2" t="s">
        <v>13</v>
      </c>
      <c r="B3" s="2" t="s">
        <v>17</v>
      </c>
      <c r="C3" s="3">
        <v>90</v>
      </c>
      <c r="D3" s="4">
        <v>78</v>
      </c>
      <c r="E3" s="2"/>
      <c r="F3" s="2">
        <f>C3+$G$1</f>
        <v>95</v>
      </c>
      <c r="G3" s="2"/>
      <c r="H3" s="2" t="str">
        <f t="shared" ref="H3:H10" si="0">UPPER(LEFT(A3,3))&amp;TEXT(ROW(A2),"00")</f>
        <v>RAJ02</v>
      </c>
    </row>
    <row r="4" spans="1:8" x14ac:dyDescent="0.3">
      <c r="A4" s="2" t="s">
        <v>5</v>
      </c>
      <c r="B4" s="2" t="s">
        <v>10</v>
      </c>
      <c r="C4" s="3">
        <v>85</v>
      </c>
      <c r="D4" s="4">
        <v>85</v>
      </c>
      <c r="E4" s="2"/>
      <c r="F4" s="2">
        <f>C4+$G$1</f>
        <v>90</v>
      </c>
      <c r="G4" s="2"/>
      <c r="H4" s="2" t="str">
        <f t="shared" si="0"/>
        <v>RAH03</v>
      </c>
    </row>
    <row r="5" spans="1:8" x14ac:dyDescent="0.3">
      <c r="A5" s="2" t="s">
        <v>14</v>
      </c>
      <c r="B5" s="2" t="s">
        <v>18</v>
      </c>
      <c r="C5" s="3">
        <v>77</v>
      </c>
      <c r="D5" s="4">
        <v>80</v>
      </c>
      <c r="E5" s="2"/>
      <c r="F5" s="2">
        <f>C5+$G$1</f>
        <v>82</v>
      </c>
      <c r="G5" s="2"/>
      <c r="H5" s="2" t="str">
        <f t="shared" si="0"/>
        <v>AKA04</v>
      </c>
    </row>
    <row r="6" spans="1:8" x14ac:dyDescent="0.3">
      <c r="A6" s="2" t="s">
        <v>16</v>
      </c>
      <c r="B6" s="2" t="s">
        <v>20</v>
      </c>
      <c r="C6" s="3">
        <v>75</v>
      </c>
      <c r="D6" s="4">
        <v>85</v>
      </c>
      <c r="E6" s="2"/>
      <c r="F6" s="2">
        <f>C6+$G$1</f>
        <v>80</v>
      </c>
      <c r="G6" s="2"/>
      <c r="H6" s="2" t="str">
        <f t="shared" si="0"/>
        <v>HAB05</v>
      </c>
    </row>
    <row r="7" spans="1:8" x14ac:dyDescent="0.3">
      <c r="A7" s="2" t="s">
        <v>6</v>
      </c>
      <c r="B7" s="2" t="s">
        <v>11</v>
      </c>
      <c r="C7" s="3">
        <v>72</v>
      </c>
      <c r="D7" s="4">
        <v>88</v>
      </c>
      <c r="E7" s="2"/>
      <c r="F7" s="2">
        <f>C7+$G$1</f>
        <v>77</v>
      </c>
      <c r="G7" s="2"/>
      <c r="H7" s="2" t="str">
        <f t="shared" si="0"/>
        <v>KAR06</v>
      </c>
    </row>
    <row r="8" spans="1:8" x14ac:dyDescent="0.3">
      <c r="A8" s="2" t="s">
        <v>15</v>
      </c>
      <c r="B8" s="2" t="s">
        <v>19</v>
      </c>
      <c r="C8" s="3">
        <v>68</v>
      </c>
      <c r="D8" s="4">
        <v>95</v>
      </c>
      <c r="E8" s="2"/>
      <c r="F8" s="2">
        <f>C8+$G$1</f>
        <v>73</v>
      </c>
      <c r="G8" s="2"/>
      <c r="H8" s="2" t="str">
        <f t="shared" si="0"/>
        <v>MIM07</v>
      </c>
    </row>
    <row r="9" spans="1:8" x14ac:dyDescent="0.3">
      <c r="A9" s="2" t="s">
        <v>8</v>
      </c>
      <c r="B9" s="2" t="s">
        <v>10</v>
      </c>
      <c r="C9" s="3">
        <v>60</v>
      </c>
      <c r="D9" s="4">
        <v>75</v>
      </c>
      <c r="E9" s="2"/>
      <c r="F9" s="2">
        <f>C9+$G$1</f>
        <v>65</v>
      </c>
      <c r="G9" s="2"/>
      <c r="H9" s="2" t="str">
        <f t="shared" si="0"/>
        <v>TAN08</v>
      </c>
    </row>
    <row r="10" spans="1:8" x14ac:dyDescent="0.3">
      <c r="A10" s="2" t="s">
        <v>9</v>
      </c>
      <c r="B10" s="2" t="s">
        <v>11</v>
      </c>
      <c r="C10" s="3">
        <v>40</v>
      </c>
      <c r="D10" s="4">
        <v>65</v>
      </c>
      <c r="E10" s="2"/>
      <c r="F10" s="2">
        <f>C10+$G$1</f>
        <v>45</v>
      </c>
      <c r="G10" s="2"/>
      <c r="H10" s="2" t="str">
        <f t="shared" si="0"/>
        <v>NAB09</v>
      </c>
    </row>
    <row r="11" spans="1:8" x14ac:dyDescent="0.3">
      <c r="D11" s="1"/>
    </row>
    <row r="12" spans="1:8" x14ac:dyDescent="0.3">
      <c r="D12" s="1"/>
    </row>
  </sheetData>
  <autoFilter ref="A1:H10"/>
  <sortState ref="A2:H10">
    <sortCondition descending="1" ref="C2"/>
  </sortState>
  <conditionalFormatting sqref="C2:C10">
    <cfRule type="cellIs" dxfId="11" priority="12" operator="greaterThan">
      <formula>80</formula>
    </cfRule>
    <cfRule type="cellIs" dxfId="10" priority="11" operator="between">
      <formula>50</formula>
      <formula>79</formula>
    </cfRule>
    <cfRule type="cellIs" dxfId="9" priority="10" operator="greaterThan">
      <formula>80</formula>
    </cfRule>
    <cfRule type="cellIs" dxfId="8" priority="9" operator="lessThan">
      <formula>50</formula>
    </cfRule>
    <cfRule type="cellIs" dxfId="7" priority="7" operator="greaterThan">
      <formula>80</formula>
    </cfRule>
    <cfRule type="cellIs" dxfId="6" priority="6" operator="between">
      <formula>50</formula>
      <formula>79</formula>
    </cfRule>
    <cfRule type="cellIs" dxfId="5" priority="5" operator="lessThan">
      <formula>50</formula>
    </cfRule>
    <cfRule type="cellIs" dxfId="4" priority="4" operator="lessThan">
      <formula>50</formula>
    </cfRule>
    <cfRule type="cellIs" dxfId="3" priority="1" operator="between">
      <formula>50</formula>
      <formula>79</formula>
    </cfRule>
  </conditionalFormatting>
  <conditionalFormatting sqref="D2:D10">
    <cfRule type="cellIs" dxfId="2" priority="8" operator="greaterThan">
      <formula>90</formula>
    </cfRule>
    <cfRule type="cellIs" dxfId="1" priority="3" operator="greaterThan">
      <formula>90</formula>
    </cfRule>
    <cfRule type="cellIs" dxfId="0" priority="2" operator="greaterThan">
      <formula>90</formula>
    </cfRule>
  </conditionalFormatting>
  <printOptions horizontalCentered="1"/>
  <pageMargins left="0.7" right="0.7" top="0.75" bottom="0.75" header="0.3" footer="0.3"/>
  <pageSetup paperSize="9" scale="67" orientation="portrait" r:id="rId1"/>
  <headerFooter>
    <oddHeader xml:space="preserve">&amp;C&amp;16Student Performance Report
</oddHeader>
    <oddFooter xml:space="preserve">&amp;RPrepared by:  Md. Reajul Islam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amjad</dc:creator>
  <cp:lastModifiedBy>amjad</cp:lastModifiedBy>
  <cp:lastPrinted>2026-05-10T08:05:38Z</cp:lastPrinted>
  <dcterms:created xsi:type="dcterms:W3CDTF">2026-05-08T16:34:15Z</dcterms:created>
  <dcterms:modified xsi:type="dcterms:W3CDTF">2026-05-10T08:29:38Z</dcterms:modified>
</cp:coreProperties>
</file>