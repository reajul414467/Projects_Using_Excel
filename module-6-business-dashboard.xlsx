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Ostad - Data Analytics\Assignments\Assignment-6\"/>
    </mc:Choice>
  </mc:AlternateContent>
  <xr:revisionPtr revIDLastSave="0" documentId="13_ncr:1_{B56FC92E-C1AC-41A8-B901-21AE2855A9A0}" xr6:coauthVersionLast="47" xr6:coauthVersionMax="47" xr10:uidLastSave="{00000000-0000-0000-0000-000000000000}"/>
  <bookViews>
    <workbookView xWindow="-108" yWindow="-108" windowWidth="23256" windowHeight="12456" activeTab="1" xr2:uid="{0EDE81D6-5E78-4762-BC47-549095541232}"/>
  </bookViews>
  <sheets>
    <sheet name="Pivot Table" sheetId="3" r:id="rId1"/>
    <sheet name="Sales Data" sheetId="2" r:id="rId2"/>
    <sheet name="Sheet1" sheetId="1" r:id="rId3"/>
    <sheet name="Dashboard" sheetId="6" r:id="rId4"/>
  </sheets>
  <definedNames>
    <definedName name="_xlcn.WorksheetConnection_module6businessdashboard.xlsx.xlsxSales_Data1" hidden="1">Sales_Data[]</definedName>
    <definedName name="ExternalData_1" localSheetId="1" hidden="1">'Sales Data'!$A$1:$G$16</definedName>
    <definedName name="Slicer_Order_Date">#N/A</definedName>
    <definedName name="Slicer_Product">#N/A</definedName>
    <definedName name="Slicer_Region">#N/A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module-6-business-dashboard.xlsx.xlsx!Sales_Data"/>
        </x15:modelTables>
        <x15:extLst>
          <ext xmlns:x16="http://schemas.microsoft.com/office/spreadsheetml/2014/11/main" uri="{9835A34E-60A6-4A7C-AAB8-D5F71C897F49}">
            <x16:modelTimeGroupings>
              <x16:modelTimeGrouping tableName="Sales_Data" columnName="Order Date" columnId="Order Date">
                <x16:calculatedTimeColumn columnName="Order Date (Year)" columnId="Order Date (Year)" contentType="yea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1" i="3" l="1"/>
  <c r="C20" i="3"/>
  <c r="C18" i="3"/>
  <c r="C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9C80CD-EB81-4813-9437-1E095790AD9D}"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2" xr16:uid="{F378476F-6C7A-4D8B-83A4-7C909B9E2F6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053C1BD-55E3-43C4-9CEF-0661787C8B11}" name="WorksheetConnection_module-6-business-dashboard.xlsx.xlsx!Sales_Data" type="102" refreshedVersion="8" minRefreshableVersion="5">
    <extLst>
      <ext xmlns:x15="http://schemas.microsoft.com/office/spreadsheetml/2010/11/main" uri="{DE250136-89BD-433C-8126-D09CA5730AF9}">
        <x15:connection id="Sales_Data">
          <x15:rangePr sourceName="_xlcn.WorksheetConnection_module6businessdashboard.xlsx.xlsxSales_Data1"/>
        </x15:connection>
      </ext>
    </extLst>
  </connection>
</connections>
</file>

<file path=xl/sharedStrings.xml><?xml version="1.0" encoding="utf-8"?>
<sst xmlns="http://schemas.openxmlformats.org/spreadsheetml/2006/main" count="115" uniqueCount="54">
  <si>
    <t>Order Date</t>
  </si>
  <si>
    <t>Region</t>
  </si>
  <si>
    <t>Customer</t>
  </si>
  <si>
    <t>Product</t>
  </si>
  <si>
    <t>Quantity</t>
  </si>
  <si>
    <t>Sales Amount</t>
  </si>
  <si>
    <t>Product Wise Total Sales</t>
  </si>
  <si>
    <t>Dhaka</t>
  </si>
  <si>
    <t>Rahim</t>
  </si>
  <si>
    <t>Laptop</t>
  </si>
  <si>
    <t>Chattogram</t>
  </si>
  <si>
    <t>Karim</t>
  </si>
  <si>
    <t>Mouse</t>
  </si>
  <si>
    <t>Khulna</t>
  </si>
  <si>
    <t>Nabila</t>
  </si>
  <si>
    <t>Keyboard</t>
  </si>
  <si>
    <t>Rajshahi</t>
  </si>
  <si>
    <t>Sajid</t>
  </si>
  <si>
    <t>Monitor</t>
  </si>
  <si>
    <t>Sylhet</t>
  </si>
  <si>
    <t>Tahsin</t>
  </si>
  <si>
    <t>Printer</t>
  </si>
  <si>
    <t>Barishal</t>
  </si>
  <si>
    <t>Tasfiya</t>
  </si>
  <si>
    <t>Headset</t>
  </si>
  <si>
    <t>Rangpur</t>
  </si>
  <si>
    <t>Anika</t>
  </si>
  <si>
    <t>Webcam</t>
  </si>
  <si>
    <t>Mymensingh</t>
  </si>
  <si>
    <t>Farhan</t>
  </si>
  <si>
    <t>Ssd</t>
  </si>
  <si>
    <t>Rifat</t>
  </si>
  <si>
    <t>Ram</t>
  </si>
  <si>
    <t>Nusrat</t>
  </si>
  <si>
    <t>Tablet</t>
  </si>
  <si>
    <t>Imran</t>
  </si>
  <si>
    <t>Mim</t>
  </si>
  <si>
    <t>Jahid</t>
  </si>
  <si>
    <t>Tania</t>
  </si>
  <si>
    <t>Shuvo</t>
  </si>
  <si>
    <t>Row Labels</t>
  </si>
  <si>
    <t>Grand Total</t>
  </si>
  <si>
    <t>Total Sales</t>
  </si>
  <si>
    <t>Total Quantity Sold</t>
  </si>
  <si>
    <t>Average Sales Per Order</t>
  </si>
  <si>
    <t>Jan</t>
  </si>
  <si>
    <t>Feb</t>
  </si>
  <si>
    <t>Total Sales By Region</t>
  </si>
  <si>
    <t>Sales by Product</t>
  </si>
  <si>
    <t>Monthly Sales Trend</t>
  </si>
  <si>
    <t>Total Quantity</t>
  </si>
  <si>
    <t>Average Sales</t>
  </si>
  <si>
    <t>Date</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</si>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</sst>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0" xfId="0" applyFont="1"/>
  </cellXfs>
  <cellStyles count="1">
    <cellStyle name="Normal" xfId="0" builtinId="0"/>
  </cellStyles>
  <dxfs count="5">
    <dxf>
      <numFmt numFmtId="0" formatCode="General"/>
    </dxf>
    <dxf>
      <numFmt numFmtId="0" formatCode="General"/>
    </dxf>
    <dxf>
      <numFmt numFmtId="0" formatCode="General"/>
    </dxf>
    <dxf>
      <numFmt numFmtId="19" formatCode="m/d/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[module-6-business-dashboard.xlsx.xlsx]Pivot Table!PivotTable1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DE-4628-8EE3-263B9CA753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DE-4628-8EE3-263B9CA753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DE-4628-8EE3-263B9CA753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DE-4628-8EE3-263B9CA753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DE-4628-8EE3-263B9CA753F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DE-4628-8EE3-263B9CA753F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DE-4628-8EE3-263B9CA753F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DE-4628-8EE3-263B9CA753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Table'!$B$4:$B$12</c:f>
              <c:strCache>
                <c:ptCount val="8"/>
                <c:pt idx="0">
                  <c:v>Barishal</c:v>
                </c:pt>
                <c:pt idx="1">
                  <c:v>Chattogram</c:v>
                </c:pt>
                <c:pt idx="2">
                  <c:v>Dhaka</c:v>
                </c:pt>
                <c:pt idx="3">
                  <c:v>Khulna</c:v>
                </c:pt>
                <c:pt idx="4">
                  <c:v>Mymensingh</c:v>
                </c:pt>
                <c:pt idx="5">
                  <c:v>Rajshahi</c:v>
                </c:pt>
                <c:pt idx="6">
                  <c:v>Rangpur</c:v>
                </c:pt>
                <c:pt idx="7">
                  <c:v>Sylhet</c:v>
                </c:pt>
              </c:strCache>
            </c:strRef>
          </c:cat>
          <c:val>
            <c:numRef>
              <c:f>'Pivot Table'!$C$4:$C$12</c:f>
              <c:numCache>
                <c:formatCode>General</c:formatCode>
                <c:ptCount val="8"/>
                <c:pt idx="0">
                  <c:v>480</c:v>
                </c:pt>
                <c:pt idx="1">
                  <c:v>750</c:v>
                </c:pt>
                <c:pt idx="2">
                  <c:v>1680</c:v>
                </c:pt>
                <c:pt idx="3">
                  <c:v>560</c:v>
                </c:pt>
                <c:pt idx="4">
                  <c:v>360</c:v>
                </c:pt>
                <c:pt idx="5">
                  <c:v>440</c:v>
                </c:pt>
                <c:pt idx="6">
                  <c:v>400</c:v>
                </c:pt>
                <c:pt idx="7">
                  <c:v>1050</c:v>
                </c:pt>
              </c:numCache>
            </c:numRef>
          </c:val>
          <c:extLst>
            <c:ext xmlns:c16="http://schemas.microsoft.com/office/drawing/2014/chart" uri="{C3380CC4-5D6E-409C-BE32-E72D297353CC}">
              <c16:uniqueId val="{00000015-B752-4470-8380-0BC24A1D05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[module-6-business-dashboard.xlsx.xlsx]Pivot Table!PivotTable3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Table'!$G$3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 Table'!$F$4:$F$14</c:f>
              <c:strCache>
                <c:ptCount val="10"/>
                <c:pt idx="0">
                  <c:v>Headset</c:v>
                </c:pt>
                <c:pt idx="1">
                  <c:v>Keyboard</c:v>
                </c:pt>
                <c:pt idx="2">
                  <c:v>Laptop</c:v>
                </c:pt>
                <c:pt idx="3">
                  <c:v>Monitor</c:v>
                </c:pt>
                <c:pt idx="4">
                  <c:v>Mouse</c:v>
                </c:pt>
                <c:pt idx="5">
                  <c:v>Printer</c:v>
                </c:pt>
                <c:pt idx="6">
                  <c:v>Ram</c:v>
                </c:pt>
                <c:pt idx="7">
                  <c:v>Ssd</c:v>
                </c:pt>
                <c:pt idx="8">
                  <c:v>Tablet</c:v>
                </c:pt>
                <c:pt idx="9">
                  <c:v>Webcam</c:v>
                </c:pt>
              </c:strCache>
            </c:strRef>
          </c:cat>
          <c:val>
            <c:numRef>
              <c:f>'Pivot Table'!$G$4:$G$14</c:f>
              <c:numCache>
                <c:formatCode>General</c:formatCode>
                <c:ptCount val="10"/>
                <c:pt idx="0">
                  <c:v>240</c:v>
                </c:pt>
                <c:pt idx="1">
                  <c:v>350</c:v>
                </c:pt>
                <c:pt idx="2">
                  <c:v>1850</c:v>
                </c:pt>
                <c:pt idx="3">
                  <c:v>900</c:v>
                </c:pt>
                <c:pt idx="4">
                  <c:v>390</c:v>
                </c:pt>
                <c:pt idx="5">
                  <c:v>620</c:v>
                </c:pt>
                <c:pt idx="6">
                  <c:v>480</c:v>
                </c:pt>
                <c:pt idx="7">
                  <c:v>360</c:v>
                </c:pt>
                <c:pt idx="8">
                  <c:v>350</c:v>
                </c:pt>
                <c:pt idx="9">
                  <c:v>180</c:v>
                </c:pt>
              </c:numCache>
            </c:numRef>
          </c:val>
          <c:extLst>
            <c:ext xmlns:c16="http://schemas.microsoft.com/office/drawing/2014/chart" uri="{C3380CC4-5D6E-409C-BE32-E72D297353CC}">
              <c16:uniqueId val="{00000005-6C71-4425-9812-152004B5D951}"/>
            </c:ext>
          </c:extLst>
        </c:ser>
        <c:dLbls>
          <c:showLegendKey val="0"/>
          <c:showVal val="0"/>
          <c:showCatName val="0"/>
          <c:showSerName val="0"/>
          <c:showPercent val="0"/>
          <c:showBubbleSize val="0"/>
        </c:dLbls>
        <c:gapWidth val="150"/>
        <c:shape val="box"/>
        <c:axId val="467950016"/>
        <c:axId val="467967296"/>
        <c:axId val="0"/>
      </c:bar3DChart>
      <c:catAx>
        <c:axId val="467950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67967296"/>
        <c:crosses val="autoZero"/>
        <c:auto val="1"/>
        <c:lblAlgn val="ctr"/>
        <c:lblOffset val="100"/>
        <c:noMultiLvlLbl val="0"/>
      </c:catAx>
      <c:valAx>
        <c:axId val="4679672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6795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[module-6-business-dashboard.xlsx.xlsx]Pivot Table!PivotTable4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21958241378949E-3"/>
          <c:y val="8.3632019115890077E-2"/>
          <c:w val="0.69443603203445725"/>
          <c:h val="0.86857825567502989"/>
        </c:manualLayout>
      </c:layout>
      <c:pie3DChart>
        <c:varyColors val="1"/>
        <c:ser>
          <c:idx val="0"/>
          <c:order val="0"/>
          <c:tx>
            <c:strRef>
              <c:f>'Pivot Table'!$K$3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626-45EB-A8C4-EE2A577B082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626-45EB-A8C4-EE2A577B082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Table'!$J$4:$J$6</c:f>
              <c:strCache>
                <c:ptCount val="2"/>
                <c:pt idx="0">
                  <c:v>Jan</c:v>
                </c:pt>
                <c:pt idx="1">
                  <c:v>Feb</c:v>
                </c:pt>
              </c:strCache>
            </c:strRef>
          </c:cat>
          <c:val>
            <c:numRef>
              <c:f>'Pivot Table'!$K$4:$K$6</c:f>
              <c:numCache>
                <c:formatCode>General</c:formatCode>
                <c:ptCount val="2"/>
                <c:pt idx="0">
                  <c:v>3040</c:v>
                </c:pt>
                <c:pt idx="1">
                  <c:v>2680</c:v>
                </c:pt>
              </c:numCache>
            </c:numRef>
          </c:val>
          <c:extLst>
            <c:ext xmlns:c16="http://schemas.microsoft.com/office/drawing/2014/chart" uri="{C3380CC4-5D6E-409C-BE32-E72D297353CC}">
              <c16:uniqueId val="{00000009-C96F-4800-A523-6FDECE50D5C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19</xdr:col>
      <xdr:colOff>441960</xdr:colOff>
      <xdr:row>6</xdr:row>
      <xdr:rowOff>114300</xdr:rowOff>
    </xdr:from>
    <xdr:to>
      <xdr:col>23</xdr:col>
      <xdr:colOff>144780</xdr:colOff>
      <xdr:row>11</xdr:row>
      <xdr:rowOff>114300</xdr:rowOff>
    </xdr:to>
    <xdr:sp macro="" textlink="">
      <xdr:nvSpPr>
        <xdr:cNvPr id="3" name="Rectangle: Rounded Corners 2">
          <a:extLst>
            <a:ext uri="{FF2B5EF4-FFF2-40B4-BE49-F238E27FC236}">
              <a16:creationId xmlns:a16="http://schemas.microsoft.com/office/drawing/2014/main" id="{C5FD88CD-5100-1E99-4CD6-16F1544DC95E}"/>
            </a:ext>
          </a:extLst>
        </xdr:cNvPr>
        <xdr:cNvSpPr/>
      </xdr:nvSpPr>
      <xdr:spPr>
        <a:xfrm>
          <a:off x="12024360" y="1211580"/>
          <a:ext cx="2141220" cy="91440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441960</xdr:colOff>
      <xdr:row>12</xdr:row>
      <xdr:rowOff>30480</xdr:rowOff>
    </xdr:from>
    <xdr:to>
      <xdr:col>23</xdr:col>
      <xdr:colOff>144780</xdr:colOff>
      <xdr:row>17</xdr:row>
      <xdr:rowOff>30480</xdr:rowOff>
    </xdr:to>
    <xdr:sp macro="" textlink="">
      <xdr:nvSpPr>
        <xdr:cNvPr id="4" name="Rectangle: Rounded Corners 3">
          <a:extLst>
            <a:ext uri="{FF2B5EF4-FFF2-40B4-BE49-F238E27FC236}">
              <a16:creationId xmlns:a16="http://schemas.microsoft.com/office/drawing/2014/main" id="{357FFA74-BF0D-FE76-A37D-080BEBED57A2}"/>
            </a:ext>
          </a:extLst>
        </xdr:cNvPr>
        <xdr:cNvSpPr/>
      </xdr:nvSpPr>
      <xdr:spPr>
        <a:xfrm>
          <a:off x="12024360" y="2225040"/>
          <a:ext cx="2141220" cy="91440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441960</xdr:colOff>
      <xdr:row>17</xdr:row>
      <xdr:rowOff>129540</xdr:rowOff>
    </xdr:from>
    <xdr:to>
      <xdr:col>23</xdr:col>
      <xdr:colOff>144780</xdr:colOff>
      <xdr:row>22</xdr:row>
      <xdr:rowOff>129540</xdr:rowOff>
    </xdr:to>
    <xdr:sp macro="" textlink="">
      <xdr:nvSpPr>
        <xdr:cNvPr id="5" name="Rectangle: Rounded Corners 4">
          <a:extLst>
            <a:ext uri="{FF2B5EF4-FFF2-40B4-BE49-F238E27FC236}">
              <a16:creationId xmlns:a16="http://schemas.microsoft.com/office/drawing/2014/main" id="{96C91D79-2AE7-0CB1-3538-8FDD06E6E053}"/>
            </a:ext>
          </a:extLst>
        </xdr:cNvPr>
        <xdr:cNvSpPr/>
      </xdr:nvSpPr>
      <xdr:spPr>
        <a:xfrm>
          <a:off x="12024360" y="3238500"/>
          <a:ext cx="2141220" cy="91440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441960</xdr:colOff>
      <xdr:row>23</xdr:row>
      <xdr:rowOff>45720</xdr:rowOff>
    </xdr:from>
    <xdr:to>
      <xdr:col>23</xdr:col>
      <xdr:colOff>144780</xdr:colOff>
      <xdr:row>28</xdr:row>
      <xdr:rowOff>45720</xdr:rowOff>
    </xdr:to>
    <xdr:sp macro="" textlink="">
      <xdr:nvSpPr>
        <xdr:cNvPr id="6" name="Rectangle: Rounded Corners 5">
          <a:extLst>
            <a:ext uri="{FF2B5EF4-FFF2-40B4-BE49-F238E27FC236}">
              <a16:creationId xmlns:a16="http://schemas.microsoft.com/office/drawing/2014/main" id="{E7E434A8-F43A-C395-4829-0D6188AF55EB}"/>
            </a:ext>
          </a:extLst>
        </xdr:cNvPr>
        <xdr:cNvSpPr/>
      </xdr:nvSpPr>
      <xdr:spPr>
        <a:xfrm>
          <a:off x="12024360" y="4251960"/>
          <a:ext cx="2141220" cy="91440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525780</xdr:colOff>
      <xdr:row>0</xdr:row>
      <xdr:rowOff>83820</xdr:rowOff>
    </xdr:from>
    <xdr:to>
      <xdr:col>23</xdr:col>
      <xdr:colOff>144780</xdr:colOff>
      <xdr:row>6</xdr:row>
      <xdr:rowOff>15240</xdr:rowOff>
    </xdr:to>
    <xdr:sp macro="" textlink="">
      <xdr:nvSpPr>
        <xdr:cNvPr id="8" name="Oval 7">
          <a:extLst>
            <a:ext uri="{FF2B5EF4-FFF2-40B4-BE49-F238E27FC236}">
              <a16:creationId xmlns:a16="http://schemas.microsoft.com/office/drawing/2014/main" id="{99F340BB-1320-4B4F-30E1-5DC45D2C9F0D}"/>
            </a:ext>
          </a:extLst>
        </xdr:cNvPr>
        <xdr:cNvSpPr/>
      </xdr:nvSpPr>
      <xdr:spPr>
        <a:xfrm>
          <a:off x="12108180" y="83820"/>
          <a:ext cx="2057400" cy="1028700"/>
        </a:xfrm>
        <a:prstGeom prst="ellipse">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0</xdr:row>
      <xdr:rowOff>60960</xdr:rowOff>
    </xdr:from>
    <xdr:to>
      <xdr:col>3</xdr:col>
      <xdr:colOff>419100</xdr:colOff>
      <xdr:row>30</xdr:row>
      <xdr:rowOff>15240</xdr:rowOff>
    </xdr:to>
    <xdr:sp macro="" textlink="">
      <xdr:nvSpPr>
        <xdr:cNvPr id="9" name="Rectangle: Rounded Corners 8">
          <a:extLst>
            <a:ext uri="{FF2B5EF4-FFF2-40B4-BE49-F238E27FC236}">
              <a16:creationId xmlns:a16="http://schemas.microsoft.com/office/drawing/2014/main" id="{9600FA90-E704-699A-B279-61C14065015D}"/>
            </a:ext>
          </a:extLst>
        </xdr:cNvPr>
        <xdr:cNvSpPr/>
      </xdr:nvSpPr>
      <xdr:spPr>
        <a:xfrm>
          <a:off x="60960" y="60960"/>
          <a:ext cx="2186940" cy="5440680"/>
        </a:xfrm>
        <a:prstGeom prst="roundRect">
          <a:avLst>
            <a:gd name="adj" fmla="val 653"/>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472440</xdr:colOff>
      <xdr:row>0</xdr:row>
      <xdr:rowOff>152400</xdr:rowOff>
    </xdr:from>
    <xdr:to>
      <xdr:col>19</xdr:col>
      <xdr:colOff>381000</xdr:colOff>
      <xdr:row>8</xdr:row>
      <xdr:rowOff>30480</xdr:rowOff>
    </xdr:to>
    <xdr:sp macro="" textlink="">
      <xdr:nvSpPr>
        <xdr:cNvPr id="10" name="Oval 9">
          <a:extLst>
            <a:ext uri="{FF2B5EF4-FFF2-40B4-BE49-F238E27FC236}">
              <a16:creationId xmlns:a16="http://schemas.microsoft.com/office/drawing/2014/main" id="{C52BEBBA-4983-9773-232B-B06FBD67C2F5}"/>
            </a:ext>
          </a:extLst>
        </xdr:cNvPr>
        <xdr:cNvSpPr/>
      </xdr:nvSpPr>
      <xdr:spPr>
        <a:xfrm>
          <a:off x="2301240" y="152400"/>
          <a:ext cx="9662160" cy="1341120"/>
        </a:xfrm>
        <a:prstGeom prst="ellipse">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60960</xdr:colOff>
      <xdr:row>8</xdr:row>
      <xdr:rowOff>83820</xdr:rowOff>
    </xdr:from>
    <xdr:to>
      <xdr:col>8</xdr:col>
      <xdr:colOff>556260</xdr:colOff>
      <xdr:row>27</xdr:row>
      <xdr:rowOff>68580</xdr:rowOff>
    </xdr:to>
    <xdr:sp macro="" textlink="">
      <xdr:nvSpPr>
        <xdr:cNvPr id="11" name="Rectangle: Rounded Corners 10">
          <a:extLst>
            <a:ext uri="{FF2B5EF4-FFF2-40B4-BE49-F238E27FC236}">
              <a16:creationId xmlns:a16="http://schemas.microsoft.com/office/drawing/2014/main" id="{879174DA-8241-D4F4-F236-34FD82A9358D}"/>
            </a:ext>
          </a:extLst>
        </xdr:cNvPr>
        <xdr:cNvSpPr/>
      </xdr:nvSpPr>
      <xdr:spPr>
        <a:xfrm>
          <a:off x="2499360" y="1546860"/>
          <a:ext cx="2933700" cy="345948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243840</xdr:colOff>
      <xdr:row>8</xdr:row>
      <xdr:rowOff>152400</xdr:rowOff>
    </xdr:from>
    <xdr:to>
      <xdr:col>14</xdr:col>
      <xdr:colOff>60960</xdr:colOff>
      <xdr:row>27</xdr:row>
      <xdr:rowOff>137160</xdr:rowOff>
    </xdr:to>
    <xdr:sp macro="" textlink="">
      <xdr:nvSpPr>
        <xdr:cNvPr id="12" name="Rectangle: Rounded Corners 11">
          <a:extLst>
            <a:ext uri="{FF2B5EF4-FFF2-40B4-BE49-F238E27FC236}">
              <a16:creationId xmlns:a16="http://schemas.microsoft.com/office/drawing/2014/main" id="{F9479BFB-3D61-5F4E-296B-649BDDFEC144}"/>
            </a:ext>
          </a:extLst>
        </xdr:cNvPr>
        <xdr:cNvSpPr/>
      </xdr:nvSpPr>
      <xdr:spPr>
        <a:xfrm>
          <a:off x="5730240" y="1615440"/>
          <a:ext cx="2865120" cy="345948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358140</xdr:colOff>
      <xdr:row>8</xdr:row>
      <xdr:rowOff>137160</xdr:rowOff>
    </xdr:from>
    <xdr:to>
      <xdr:col>19</xdr:col>
      <xdr:colOff>144780</xdr:colOff>
      <xdr:row>27</xdr:row>
      <xdr:rowOff>121920</xdr:rowOff>
    </xdr:to>
    <xdr:sp macro="" textlink="">
      <xdr:nvSpPr>
        <xdr:cNvPr id="13" name="Rectangle: Rounded Corners 12">
          <a:extLst>
            <a:ext uri="{FF2B5EF4-FFF2-40B4-BE49-F238E27FC236}">
              <a16:creationId xmlns:a16="http://schemas.microsoft.com/office/drawing/2014/main" id="{6AE14C9C-7BF2-C8D5-06D9-45DC9D7DCBDF}"/>
            </a:ext>
          </a:extLst>
        </xdr:cNvPr>
        <xdr:cNvSpPr/>
      </xdr:nvSpPr>
      <xdr:spPr>
        <a:xfrm>
          <a:off x="8892540" y="1600200"/>
          <a:ext cx="2834640" cy="345948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xdr:colOff>
      <xdr:row>28</xdr:row>
      <xdr:rowOff>144780</xdr:rowOff>
    </xdr:from>
    <xdr:to>
      <xdr:col>23</xdr:col>
      <xdr:colOff>144780</xdr:colOff>
      <xdr:row>30</xdr:row>
      <xdr:rowOff>53340</xdr:rowOff>
    </xdr:to>
    <xdr:sp macro="" textlink="">
      <xdr:nvSpPr>
        <xdr:cNvPr id="14" name="Rectangle: Rounded Corners 13">
          <a:extLst>
            <a:ext uri="{FF2B5EF4-FFF2-40B4-BE49-F238E27FC236}">
              <a16:creationId xmlns:a16="http://schemas.microsoft.com/office/drawing/2014/main" id="{9A499DAC-4955-A360-9B20-3ECBAB1FB60F}"/>
            </a:ext>
          </a:extLst>
        </xdr:cNvPr>
        <xdr:cNvSpPr/>
      </xdr:nvSpPr>
      <xdr:spPr>
        <a:xfrm>
          <a:off x="2453640" y="5265420"/>
          <a:ext cx="11711940" cy="274320"/>
        </a:xfrm>
        <a:prstGeom prst="roundRect">
          <a:avLst/>
        </a:prstGeom>
        <a:solidFill>
          <a:schemeClr val="accent3">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426720</xdr:colOff>
      <xdr:row>2</xdr:row>
      <xdr:rowOff>129540</xdr:rowOff>
    </xdr:from>
    <xdr:to>
      <xdr:col>18</xdr:col>
      <xdr:colOff>441960</xdr:colOff>
      <xdr:row>5</xdr:row>
      <xdr:rowOff>76200</xdr:rowOff>
    </xdr:to>
    <xdr:sp macro="" textlink="">
      <xdr:nvSpPr>
        <xdr:cNvPr id="18" name="TextBox 17">
          <a:extLst>
            <a:ext uri="{FF2B5EF4-FFF2-40B4-BE49-F238E27FC236}">
              <a16:creationId xmlns:a16="http://schemas.microsoft.com/office/drawing/2014/main" id="{98061BA0-E894-672B-D105-B69B98C6AE9C}"/>
            </a:ext>
          </a:extLst>
        </xdr:cNvPr>
        <xdr:cNvSpPr txBox="1"/>
      </xdr:nvSpPr>
      <xdr:spPr>
        <a:xfrm>
          <a:off x="2865120" y="495300"/>
          <a:ext cx="8549640" cy="495300"/>
        </a:xfrm>
        <a:prstGeom prst="rect">
          <a:avLst/>
        </a:prstGeom>
        <a:solidFill>
          <a:schemeClr val="bg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C00000"/>
              </a:solidFill>
              <a:latin typeface="Arial Black" panose="020B0A04020102090204" pitchFamily="34" charset="0"/>
            </a:rPr>
            <a:t>The Modern</a:t>
          </a:r>
          <a:r>
            <a:rPr lang="en-US" sz="2800" b="1" baseline="0">
              <a:solidFill>
                <a:srgbClr val="C00000"/>
              </a:solidFill>
              <a:latin typeface="Arial Black" panose="020B0A04020102090204" pitchFamily="34" charset="0"/>
            </a:rPr>
            <a:t> Lens Corporate Limited</a:t>
          </a:r>
          <a:endParaRPr lang="en-US" sz="2800" b="1">
            <a:solidFill>
              <a:srgbClr val="C00000"/>
            </a:solidFill>
            <a:latin typeface="Arial Black" panose="020B0A04020102090204" pitchFamily="34" charset="0"/>
          </a:endParaRPr>
        </a:p>
      </xdr:txBody>
    </xdr:sp>
    <xdr:clientData/>
  </xdr:twoCellAnchor>
  <xdr:twoCellAnchor editAs="oneCell">
    <xdr:from>
      <xdr:col>19</xdr:col>
      <xdr:colOff>563880</xdr:colOff>
      <xdr:row>0</xdr:row>
      <xdr:rowOff>76200</xdr:rowOff>
    </xdr:from>
    <xdr:to>
      <xdr:col>23</xdr:col>
      <xdr:colOff>60960</xdr:colOff>
      <xdr:row>5</xdr:row>
      <xdr:rowOff>160019</xdr:rowOff>
    </xdr:to>
    <xdr:pic>
      <xdr:nvPicPr>
        <xdr:cNvPr id="22" name="Picture 21">
          <a:extLst>
            <a:ext uri="{FF2B5EF4-FFF2-40B4-BE49-F238E27FC236}">
              <a16:creationId xmlns:a16="http://schemas.microsoft.com/office/drawing/2014/main" id="{3DDBDD2D-B490-49F3-1B2D-0C3A4E217D3B}"/>
            </a:ext>
          </a:extLst>
        </xdr:cNvPr>
        <xdr:cNvPicPr>
          <a:picLocks noChangeAspect="1"/>
        </xdr:cNvPicPr>
      </xdr:nvPicPr>
      <xdr:blipFill>
        <a:blip xmlns:r="http://schemas.openxmlformats.org/officeDocument/2006/relationships" r:embed="rId1"/>
        <a:stretch>
          <a:fillRect/>
        </a:stretch>
      </xdr:blipFill>
      <xdr:spPr>
        <a:xfrm>
          <a:off x="12146280" y="76200"/>
          <a:ext cx="1935480" cy="998219"/>
        </a:xfrm>
        <a:prstGeom prst="ellipse">
          <a:avLst/>
        </a:prstGeom>
        <a:ln w="63500" cap="rnd">
          <a:solidFill>
            <a:srgbClr val="C00000"/>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419100</xdr:colOff>
      <xdr:row>12</xdr:row>
      <xdr:rowOff>175260</xdr:rowOff>
    </xdr:from>
    <xdr:to>
      <xdr:col>8</xdr:col>
      <xdr:colOff>160020</xdr:colOff>
      <xdr:row>25</xdr:row>
      <xdr:rowOff>0</xdr:rowOff>
    </xdr:to>
    <xdr:graphicFrame macro="">
      <xdr:nvGraphicFramePr>
        <xdr:cNvPr id="23" name="Chart 22">
          <a:extLst>
            <a:ext uri="{FF2B5EF4-FFF2-40B4-BE49-F238E27FC236}">
              <a16:creationId xmlns:a16="http://schemas.microsoft.com/office/drawing/2014/main" id="{CE7FDE49-D122-4B51-9EB6-EC8E0118C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419100</xdr:colOff>
      <xdr:row>9</xdr:row>
      <xdr:rowOff>60960</xdr:rowOff>
    </xdr:from>
    <xdr:to>
      <xdr:col>8</xdr:col>
      <xdr:colOff>152400</xdr:colOff>
      <xdr:row>11</xdr:row>
      <xdr:rowOff>15240</xdr:rowOff>
    </xdr:to>
    <xdr:sp macro="" textlink="">
      <xdr:nvSpPr>
        <xdr:cNvPr id="24" name="TextBox 23">
          <a:extLst>
            <a:ext uri="{FF2B5EF4-FFF2-40B4-BE49-F238E27FC236}">
              <a16:creationId xmlns:a16="http://schemas.microsoft.com/office/drawing/2014/main" id="{D0539294-BD3E-85CE-AD43-CDCAEA00BBC5}"/>
            </a:ext>
          </a:extLst>
        </xdr:cNvPr>
        <xdr:cNvSpPr txBox="1"/>
      </xdr:nvSpPr>
      <xdr:spPr>
        <a:xfrm>
          <a:off x="2857500" y="1706880"/>
          <a:ext cx="217170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Total Sales by Region</a:t>
          </a:r>
        </a:p>
      </xdr:txBody>
    </xdr:sp>
    <xdr:clientData/>
  </xdr:twoCellAnchor>
  <xdr:twoCellAnchor>
    <xdr:from>
      <xdr:col>9</xdr:col>
      <xdr:colOff>579120</xdr:colOff>
      <xdr:row>9</xdr:row>
      <xdr:rowOff>167640</xdr:rowOff>
    </xdr:from>
    <xdr:to>
      <xdr:col>13</xdr:col>
      <xdr:colOff>388620</xdr:colOff>
      <xdr:row>11</xdr:row>
      <xdr:rowOff>121920</xdr:rowOff>
    </xdr:to>
    <xdr:sp macro="" textlink="">
      <xdr:nvSpPr>
        <xdr:cNvPr id="33" name="TextBox 32">
          <a:extLst>
            <a:ext uri="{FF2B5EF4-FFF2-40B4-BE49-F238E27FC236}">
              <a16:creationId xmlns:a16="http://schemas.microsoft.com/office/drawing/2014/main" id="{613EAE82-8888-4DB1-A609-671381E3C0D2}"/>
            </a:ext>
          </a:extLst>
        </xdr:cNvPr>
        <xdr:cNvSpPr txBox="1"/>
      </xdr:nvSpPr>
      <xdr:spPr>
        <a:xfrm>
          <a:off x="6065520" y="1813560"/>
          <a:ext cx="224790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Sales by Product</a:t>
          </a:r>
        </a:p>
      </xdr:txBody>
    </xdr:sp>
    <xdr:clientData/>
  </xdr:twoCellAnchor>
  <xdr:twoCellAnchor>
    <xdr:from>
      <xdr:col>15</xdr:col>
      <xdr:colOff>99060</xdr:colOff>
      <xdr:row>10</xdr:row>
      <xdr:rowOff>60960</xdr:rowOff>
    </xdr:from>
    <xdr:to>
      <xdr:col>18</xdr:col>
      <xdr:colOff>441960</xdr:colOff>
      <xdr:row>12</xdr:row>
      <xdr:rowOff>15240</xdr:rowOff>
    </xdr:to>
    <xdr:sp macro="" textlink="">
      <xdr:nvSpPr>
        <xdr:cNvPr id="34" name="TextBox 33">
          <a:extLst>
            <a:ext uri="{FF2B5EF4-FFF2-40B4-BE49-F238E27FC236}">
              <a16:creationId xmlns:a16="http://schemas.microsoft.com/office/drawing/2014/main" id="{B3809542-8C7B-41D7-A798-CA26EE10CFBD}"/>
            </a:ext>
          </a:extLst>
        </xdr:cNvPr>
        <xdr:cNvSpPr txBox="1"/>
      </xdr:nvSpPr>
      <xdr:spPr>
        <a:xfrm>
          <a:off x="9243060" y="1889760"/>
          <a:ext cx="217170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Monthly</a:t>
          </a:r>
          <a:r>
            <a:rPr lang="en-US" sz="1600" b="0" i="1" baseline="0">
              <a:solidFill>
                <a:srgbClr val="C00000"/>
              </a:solidFill>
            </a:rPr>
            <a:t> Sales Trend</a:t>
          </a:r>
          <a:endParaRPr lang="en-US" sz="1600" b="0" i="1">
            <a:solidFill>
              <a:srgbClr val="C00000"/>
            </a:solidFill>
          </a:endParaRPr>
        </a:p>
      </xdr:txBody>
    </xdr:sp>
    <xdr:clientData/>
  </xdr:twoCellAnchor>
  <xdr:twoCellAnchor>
    <xdr:from>
      <xdr:col>20</xdr:col>
      <xdr:colOff>15240</xdr:colOff>
      <xdr:row>6</xdr:row>
      <xdr:rowOff>160020</xdr:rowOff>
    </xdr:from>
    <xdr:to>
      <xdr:col>22</xdr:col>
      <xdr:colOff>579120</xdr:colOff>
      <xdr:row>8</xdr:row>
      <xdr:rowOff>114300</xdr:rowOff>
    </xdr:to>
    <xdr:sp macro="" textlink="">
      <xdr:nvSpPr>
        <xdr:cNvPr id="35" name="TextBox 34">
          <a:extLst>
            <a:ext uri="{FF2B5EF4-FFF2-40B4-BE49-F238E27FC236}">
              <a16:creationId xmlns:a16="http://schemas.microsoft.com/office/drawing/2014/main" id="{275F1709-53C7-45F2-991D-2B659519C871}"/>
            </a:ext>
          </a:extLst>
        </xdr:cNvPr>
        <xdr:cNvSpPr txBox="1"/>
      </xdr:nvSpPr>
      <xdr:spPr>
        <a:xfrm>
          <a:off x="12207240" y="1257300"/>
          <a:ext cx="178308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Total Sales</a:t>
          </a:r>
        </a:p>
      </xdr:txBody>
    </xdr:sp>
    <xdr:clientData/>
  </xdr:twoCellAnchor>
  <xdr:twoCellAnchor>
    <xdr:from>
      <xdr:col>20</xdr:col>
      <xdr:colOff>7620</xdr:colOff>
      <xdr:row>12</xdr:row>
      <xdr:rowOff>60960</xdr:rowOff>
    </xdr:from>
    <xdr:to>
      <xdr:col>22</xdr:col>
      <xdr:colOff>579120</xdr:colOff>
      <xdr:row>14</xdr:row>
      <xdr:rowOff>15240</xdr:rowOff>
    </xdr:to>
    <xdr:sp macro="" textlink="">
      <xdr:nvSpPr>
        <xdr:cNvPr id="36" name="TextBox 35">
          <a:extLst>
            <a:ext uri="{FF2B5EF4-FFF2-40B4-BE49-F238E27FC236}">
              <a16:creationId xmlns:a16="http://schemas.microsoft.com/office/drawing/2014/main" id="{9A80CDD8-8191-4A42-97A5-2B1EE3B35208}"/>
            </a:ext>
          </a:extLst>
        </xdr:cNvPr>
        <xdr:cNvSpPr txBox="1"/>
      </xdr:nvSpPr>
      <xdr:spPr>
        <a:xfrm>
          <a:off x="12199620" y="2255520"/>
          <a:ext cx="179070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Total Quantity</a:t>
          </a:r>
        </a:p>
      </xdr:txBody>
    </xdr:sp>
    <xdr:clientData/>
  </xdr:twoCellAnchor>
  <xdr:twoCellAnchor>
    <xdr:from>
      <xdr:col>19</xdr:col>
      <xdr:colOff>579120</xdr:colOff>
      <xdr:row>17</xdr:row>
      <xdr:rowOff>160020</xdr:rowOff>
    </xdr:from>
    <xdr:to>
      <xdr:col>23</xdr:col>
      <xdr:colOff>7620</xdr:colOff>
      <xdr:row>19</xdr:row>
      <xdr:rowOff>114300</xdr:rowOff>
    </xdr:to>
    <xdr:sp macro="" textlink="">
      <xdr:nvSpPr>
        <xdr:cNvPr id="37" name="TextBox 36">
          <a:extLst>
            <a:ext uri="{FF2B5EF4-FFF2-40B4-BE49-F238E27FC236}">
              <a16:creationId xmlns:a16="http://schemas.microsoft.com/office/drawing/2014/main" id="{44B3B7DF-497F-44A1-AC54-AF4F3CC7D073}"/>
            </a:ext>
          </a:extLst>
        </xdr:cNvPr>
        <xdr:cNvSpPr txBox="1"/>
      </xdr:nvSpPr>
      <xdr:spPr>
        <a:xfrm>
          <a:off x="12161520" y="3268980"/>
          <a:ext cx="186690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Average</a:t>
          </a:r>
          <a:r>
            <a:rPr lang="en-US" sz="1600" b="0" i="1" baseline="0">
              <a:solidFill>
                <a:srgbClr val="C00000"/>
              </a:solidFill>
            </a:rPr>
            <a:t> Sales</a:t>
          </a:r>
          <a:endParaRPr lang="en-US" sz="1600" b="0" i="1">
            <a:solidFill>
              <a:srgbClr val="C00000"/>
            </a:solidFill>
          </a:endParaRPr>
        </a:p>
      </xdr:txBody>
    </xdr:sp>
    <xdr:clientData/>
  </xdr:twoCellAnchor>
  <xdr:twoCellAnchor>
    <xdr:from>
      <xdr:col>19</xdr:col>
      <xdr:colOff>594360</xdr:colOff>
      <xdr:row>23</xdr:row>
      <xdr:rowOff>68580</xdr:rowOff>
    </xdr:from>
    <xdr:to>
      <xdr:col>22</xdr:col>
      <xdr:colOff>601980</xdr:colOff>
      <xdr:row>25</xdr:row>
      <xdr:rowOff>22860</xdr:rowOff>
    </xdr:to>
    <xdr:sp macro="" textlink="">
      <xdr:nvSpPr>
        <xdr:cNvPr id="38" name="TextBox 37">
          <a:extLst>
            <a:ext uri="{FF2B5EF4-FFF2-40B4-BE49-F238E27FC236}">
              <a16:creationId xmlns:a16="http://schemas.microsoft.com/office/drawing/2014/main" id="{F69A21E3-85A0-43E7-A6BB-AC7ADB5BBCE7}"/>
            </a:ext>
          </a:extLst>
        </xdr:cNvPr>
        <xdr:cNvSpPr txBox="1"/>
      </xdr:nvSpPr>
      <xdr:spPr>
        <a:xfrm>
          <a:off x="12176760" y="4274820"/>
          <a:ext cx="183642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Last</a:t>
          </a:r>
          <a:r>
            <a:rPr lang="en-US" sz="1600" b="0" i="1" baseline="0">
              <a:solidFill>
                <a:srgbClr val="C00000"/>
              </a:solidFill>
            </a:rPr>
            <a:t> Update On...</a:t>
          </a:r>
          <a:endParaRPr lang="en-US" sz="1600" b="0" i="1">
            <a:solidFill>
              <a:srgbClr val="C00000"/>
            </a:solidFill>
          </a:endParaRPr>
        </a:p>
      </xdr:txBody>
    </xdr:sp>
    <xdr:clientData/>
  </xdr:twoCellAnchor>
  <xdr:twoCellAnchor>
    <xdr:from>
      <xdr:col>9</xdr:col>
      <xdr:colOff>563880</xdr:colOff>
      <xdr:row>12</xdr:row>
      <xdr:rowOff>137160</xdr:rowOff>
    </xdr:from>
    <xdr:to>
      <xdr:col>13</xdr:col>
      <xdr:colOff>381000</xdr:colOff>
      <xdr:row>25</xdr:row>
      <xdr:rowOff>53340</xdr:rowOff>
    </xdr:to>
    <xdr:graphicFrame macro="">
      <xdr:nvGraphicFramePr>
        <xdr:cNvPr id="40" name="Chart 39">
          <a:extLst>
            <a:ext uri="{FF2B5EF4-FFF2-40B4-BE49-F238E27FC236}">
              <a16:creationId xmlns:a16="http://schemas.microsoft.com/office/drawing/2014/main" id="{48866C59-4BDD-45B9-A51F-A01129425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91440</xdr:colOff>
      <xdr:row>13</xdr:row>
      <xdr:rowOff>129540</xdr:rowOff>
    </xdr:from>
    <xdr:to>
      <xdr:col>18</xdr:col>
      <xdr:colOff>464820</xdr:colOff>
      <xdr:row>25</xdr:row>
      <xdr:rowOff>60960</xdr:rowOff>
    </xdr:to>
    <xdr:graphicFrame macro="">
      <xdr:nvGraphicFramePr>
        <xdr:cNvPr id="41" name="Chart 40">
          <a:extLst>
            <a:ext uri="{FF2B5EF4-FFF2-40B4-BE49-F238E27FC236}">
              <a16:creationId xmlns:a16="http://schemas.microsoft.com/office/drawing/2014/main" id="{9553305D-878F-4272-AC86-5C50FB003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0</xdr:row>
      <xdr:rowOff>83821</xdr:rowOff>
    </xdr:from>
    <xdr:to>
      <xdr:col>3</xdr:col>
      <xdr:colOff>381000</xdr:colOff>
      <xdr:row>8</xdr:row>
      <xdr:rowOff>38100</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6D15F0E9-55C6-4BA4-90F2-EC80001079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 y="83821"/>
              <a:ext cx="2125980" cy="141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8</xdr:row>
      <xdr:rowOff>38101</xdr:rowOff>
    </xdr:from>
    <xdr:to>
      <xdr:col>3</xdr:col>
      <xdr:colOff>381000</xdr:colOff>
      <xdr:row>15</xdr:row>
      <xdr:rowOff>175260</xdr:rowOff>
    </xdr:to>
    <mc:AlternateContent xmlns:mc="http://schemas.openxmlformats.org/markup-compatibility/2006" xmlns:a14="http://schemas.microsoft.com/office/drawing/2010/main">
      <mc:Choice Requires="a14">
        <xdr:graphicFrame macro="">
          <xdr:nvGraphicFramePr>
            <xdr:cNvPr id="43" name="Product">
              <a:extLst>
                <a:ext uri="{FF2B5EF4-FFF2-40B4-BE49-F238E27FC236}">
                  <a16:creationId xmlns:a16="http://schemas.microsoft.com/office/drawing/2014/main" id="{593623C1-1CCB-444B-AAE1-79357741F0F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3820" y="1501141"/>
              <a:ext cx="2125980" cy="141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16</xdr:row>
      <xdr:rowOff>0</xdr:rowOff>
    </xdr:from>
    <xdr:to>
      <xdr:col>3</xdr:col>
      <xdr:colOff>396240</xdr:colOff>
      <xdr:row>30</xdr:row>
      <xdr:rowOff>7620</xdr:rowOff>
    </xdr:to>
    <mc:AlternateContent xmlns:mc="http://schemas.openxmlformats.org/markup-compatibility/2006" xmlns:a14="http://schemas.microsoft.com/office/drawing/2010/main">
      <mc:Choice Requires="a14">
        <xdr:graphicFrame macro="">
          <xdr:nvGraphicFramePr>
            <xdr:cNvPr id="44" name="Order Date">
              <a:extLst>
                <a:ext uri="{FF2B5EF4-FFF2-40B4-BE49-F238E27FC236}">
                  <a16:creationId xmlns:a16="http://schemas.microsoft.com/office/drawing/2014/main" id="{8C2A1021-4A65-4FB5-88F3-4CAF4DE9CCB2}"/>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91440" y="2926080"/>
              <a:ext cx="2133600" cy="2567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259080</xdr:colOff>
      <xdr:row>28</xdr:row>
      <xdr:rowOff>175260</xdr:rowOff>
    </xdr:from>
    <xdr:to>
      <xdr:col>16</xdr:col>
      <xdr:colOff>167640</xdr:colOff>
      <xdr:row>30</xdr:row>
      <xdr:rowOff>38100</xdr:rowOff>
    </xdr:to>
    <xdr:sp macro="" textlink="">
      <xdr:nvSpPr>
        <xdr:cNvPr id="46" name="TextBox 45">
          <a:extLst>
            <a:ext uri="{FF2B5EF4-FFF2-40B4-BE49-F238E27FC236}">
              <a16:creationId xmlns:a16="http://schemas.microsoft.com/office/drawing/2014/main" id="{FB8B60FF-71A0-4473-A899-69A5FD427DD0}"/>
            </a:ext>
          </a:extLst>
        </xdr:cNvPr>
        <xdr:cNvSpPr txBox="1"/>
      </xdr:nvSpPr>
      <xdr:spPr>
        <a:xfrm>
          <a:off x="5745480" y="5295900"/>
          <a:ext cx="417576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1">
              <a:solidFill>
                <a:srgbClr val="C00000"/>
              </a:solidFill>
            </a:rPr>
            <a:t>Prepared</a:t>
          </a:r>
          <a:r>
            <a:rPr lang="en-US" sz="1600" b="0" i="1" baseline="0">
              <a:solidFill>
                <a:srgbClr val="C00000"/>
              </a:solidFill>
            </a:rPr>
            <a:t> by : Md. Reajul Islam, 01881769697</a:t>
          </a:r>
          <a:endParaRPr lang="en-US" sz="1600" b="0" i="1">
            <a:solidFill>
              <a:srgbClr val="C00000"/>
            </a:solidFill>
          </a:endParaRPr>
        </a:p>
      </xdr:txBody>
    </xdr:sp>
    <xdr:clientData/>
  </xdr:twoCellAnchor>
  <xdr:twoCellAnchor>
    <xdr:from>
      <xdr:col>19</xdr:col>
      <xdr:colOff>457200</xdr:colOff>
      <xdr:row>8</xdr:row>
      <xdr:rowOff>160020</xdr:rowOff>
    </xdr:from>
    <xdr:to>
      <xdr:col>23</xdr:col>
      <xdr:colOff>152400</xdr:colOff>
      <xdr:row>11</xdr:row>
      <xdr:rowOff>68580</xdr:rowOff>
    </xdr:to>
    <xdr:sp macro="" textlink="'Pivot Table'!C18">
      <xdr:nvSpPr>
        <xdr:cNvPr id="50" name="Pentagon 49">
          <a:extLst>
            <a:ext uri="{FF2B5EF4-FFF2-40B4-BE49-F238E27FC236}">
              <a16:creationId xmlns:a16="http://schemas.microsoft.com/office/drawing/2014/main" id="{8E41507F-2A4B-BF3F-4905-81A2EA698E95}"/>
            </a:ext>
          </a:extLst>
        </xdr:cNvPr>
        <xdr:cNvSpPr/>
      </xdr:nvSpPr>
      <xdr:spPr>
        <a:xfrm>
          <a:off x="12039600" y="1623060"/>
          <a:ext cx="2133600" cy="457200"/>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51DF3B-6B23-4721-B843-CCE6A1515D87}" type="TxLink">
            <a:rPr lang="en-US" sz="2400" b="1" i="0" u="none" strike="noStrike">
              <a:solidFill>
                <a:schemeClr val="bg1"/>
              </a:solidFill>
              <a:latin typeface="Amasis MT Pro Black" panose="020F0502020204030204" pitchFamily="18" charset="0"/>
            </a:rPr>
            <a:pPr algn="ctr"/>
            <a:t>5720</a:t>
          </a:fld>
          <a:endParaRPr lang="en-US" sz="2400" b="1">
            <a:solidFill>
              <a:schemeClr val="bg1"/>
            </a:solidFill>
            <a:latin typeface="Amasis MT Pro Black" panose="020F0502020204030204" pitchFamily="18" charset="0"/>
          </a:endParaRPr>
        </a:p>
      </xdr:txBody>
    </xdr:sp>
    <xdr:clientData/>
  </xdr:twoCellAnchor>
  <xdr:twoCellAnchor>
    <xdr:from>
      <xdr:col>19</xdr:col>
      <xdr:colOff>449580</xdr:colOff>
      <xdr:row>14</xdr:row>
      <xdr:rowOff>76200</xdr:rowOff>
    </xdr:from>
    <xdr:to>
      <xdr:col>23</xdr:col>
      <xdr:colOff>114300</xdr:colOff>
      <xdr:row>16</xdr:row>
      <xdr:rowOff>167640</xdr:rowOff>
    </xdr:to>
    <xdr:sp macro="" textlink="'Pivot Table'!C19">
      <xdr:nvSpPr>
        <xdr:cNvPr id="51" name="Pentagon 50">
          <a:extLst>
            <a:ext uri="{FF2B5EF4-FFF2-40B4-BE49-F238E27FC236}">
              <a16:creationId xmlns:a16="http://schemas.microsoft.com/office/drawing/2014/main" id="{BA743159-9309-444D-B674-379B6DE6F328}"/>
            </a:ext>
          </a:extLst>
        </xdr:cNvPr>
        <xdr:cNvSpPr/>
      </xdr:nvSpPr>
      <xdr:spPr>
        <a:xfrm>
          <a:off x="12031980" y="2636520"/>
          <a:ext cx="2103120" cy="457200"/>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EFEC6B3-68FD-47F1-8F3B-678D7EEEE861}" type="TxLink">
            <a:rPr lang="en-US" sz="2400" b="1" i="0" u="none" strike="noStrike">
              <a:solidFill>
                <a:schemeClr val="bg1"/>
              </a:solidFill>
              <a:latin typeface="Amasis MT Pro Black" panose="020F0502020204030204" pitchFamily="18" charset="0"/>
              <a:ea typeface="+mn-ea"/>
              <a:cs typeface="+mn-cs"/>
            </a:rPr>
            <a:pPr marL="0" indent="0" algn="ctr"/>
            <a:t>43</a:t>
          </a:fld>
          <a:endParaRPr lang="en-US" sz="2400" b="1" i="0" u="none" strike="noStrike">
            <a:solidFill>
              <a:schemeClr val="bg1"/>
            </a:solidFill>
            <a:latin typeface="Amasis MT Pro Black" panose="020F0502020204030204" pitchFamily="18" charset="0"/>
            <a:ea typeface="+mn-ea"/>
            <a:cs typeface="+mn-cs"/>
          </a:endParaRPr>
        </a:p>
      </xdr:txBody>
    </xdr:sp>
    <xdr:clientData/>
  </xdr:twoCellAnchor>
  <xdr:twoCellAnchor>
    <xdr:from>
      <xdr:col>19</xdr:col>
      <xdr:colOff>449580</xdr:colOff>
      <xdr:row>19</xdr:row>
      <xdr:rowOff>137160</xdr:rowOff>
    </xdr:from>
    <xdr:to>
      <xdr:col>23</xdr:col>
      <xdr:colOff>129540</xdr:colOff>
      <xdr:row>22</xdr:row>
      <xdr:rowOff>45720</xdr:rowOff>
    </xdr:to>
    <xdr:sp macro="" textlink="'Pivot Table'!C20">
      <xdr:nvSpPr>
        <xdr:cNvPr id="52" name="Pentagon 51">
          <a:extLst>
            <a:ext uri="{FF2B5EF4-FFF2-40B4-BE49-F238E27FC236}">
              <a16:creationId xmlns:a16="http://schemas.microsoft.com/office/drawing/2014/main" id="{D0E5BF84-81C3-4239-A472-95F13B71C74B}"/>
            </a:ext>
          </a:extLst>
        </xdr:cNvPr>
        <xdr:cNvSpPr/>
      </xdr:nvSpPr>
      <xdr:spPr>
        <a:xfrm>
          <a:off x="12031980" y="3611880"/>
          <a:ext cx="2118360" cy="457200"/>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DD85414-3B98-4770-BFAF-247D8F9A27C1}" type="TxLink">
            <a:rPr lang="en-US" sz="2400" b="1" i="0" u="none" strike="noStrike">
              <a:solidFill>
                <a:schemeClr val="bg1"/>
              </a:solidFill>
              <a:latin typeface="Amasis MT Pro Black" panose="020F0502020204030204" pitchFamily="18" charset="0"/>
              <a:ea typeface="+mn-ea"/>
              <a:cs typeface="+mn-cs"/>
            </a:rPr>
            <a:pPr marL="0" indent="0" algn="ctr"/>
            <a:t>133</a:t>
          </a:fld>
          <a:endParaRPr lang="en-US" sz="2400" b="1" i="0" u="none" strike="noStrike">
            <a:solidFill>
              <a:schemeClr val="bg1"/>
            </a:solidFill>
            <a:latin typeface="Amasis MT Pro Black" panose="020F0502020204030204" pitchFamily="18" charset="0"/>
            <a:ea typeface="+mn-ea"/>
            <a:cs typeface="+mn-cs"/>
          </a:endParaRPr>
        </a:p>
      </xdr:txBody>
    </xdr:sp>
    <xdr:clientData/>
  </xdr:twoCellAnchor>
  <xdr:twoCellAnchor>
    <xdr:from>
      <xdr:col>19</xdr:col>
      <xdr:colOff>449580</xdr:colOff>
      <xdr:row>25</xdr:row>
      <xdr:rowOff>53340</xdr:rowOff>
    </xdr:from>
    <xdr:to>
      <xdr:col>23</xdr:col>
      <xdr:colOff>83820</xdr:colOff>
      <xdr:row>27</xdr:row>
      <xdr:rowOff>144780</xdr:rowOff>
    </xdr:to>
    <xdr:sp macro="" textlink="'Pivot Table'!C21">
      <xdr:nvSpPr>
        <xdr:cNvPr id="53" name="Pentagon 52">
          <a:extLst>
            <a:ext uri="{FF2B5EF4-FFF2-40B4-BE49-F238E27FC236}">
              <a16:creationId xmlns:a16="http://schemas.microsoft.com/office/drawing/2014/main" id="{7041607A-B15A-4504-909B-9F2C8E124E8F}"/>
            </a:ext>
          </a:extLst>
        </xdr:cNvPr>
        <xdr:cNvSpPr/>
      </xdr:nvSpPr>
      <xdr:spPr>
        <a:xfrm>
          <a:off x="12031980" y="4625340"/>
          <a:ext cx="2072640" cy="457200"/>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479DA9C-0F59-4A5F-8684-2E35DC51D225}" type="TxLink">
            <a:rPr lang="en-US" sz="1400" b="1" i="0" u="none" strike="noStrike">
              <a:solidFill>
                <a:schemeClr val="bg1"/>
              </a:solidFill>
              <a:latin typeface="Amasis MT Pro Black" panose="020F0502020204030204" pitchFamily="18" charset="0"/>
              <a:ea typeface="+mn-ea"/>
              <a:cs typeface="+mn-cs"/>
            </a:rPr>
            <a:pPr marL="0" indent="0" algn="ctr"/>
            <a:t>7/5/2026</a:t>
          </a:fld>
          <a:endParaRPr lang="en-US" sz="1400" b="1" i="0" u="none" strike="noStrike">
            <a:solidFill>
              <a:schemeClr val="bg1"/>
            </a:solidFill>
            <a:latin typeface="Amasis MT Pro Black" panose="020F0502020204030204" pitchFamily="18" charset="0"/>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98.822045138892" createdVersion="5" refreshedVersion="8" minRefreshableVersion="3" recordCount="0" supportSubquery="1" supportAdvancedDrill="1" xr:uid="{96DA060D-D911-4D74-9C57-E0B29682848B}">
  <cacheSource type="external" connectionId="2"/>
  <cacheFields count="4">
    <cacheField name="[Measures].[Total Sales]" caption="Total Sales" numFmtId="0" hierarchy="11" level="32767"/>
    <cacheField name="[Sales_Data].[Region].[Region]" caption="Region" numFmtId="0" hierarchy="1" level="1">
      <sharedItems count="8">
        <s v="Barishal"/>
        <s v="Chattogram"/>
        <s v="Dhaka"/>
        <s v="Khulna"/>
        <s v="Mymensingh"/>
        <s v="Rajshahi"/>
        <s v="Rangpur"/>
        <s v="Sylhet"/>
      </sharedItems>
    </cacheField>
    <cacheField name="[Sales_Data].[Order Date].[Order Date]" caption="Order Date" numFmtId="0" level="1">
      <sharedItems containsSemiMixedTypes="0" containsNonDate="0" containsString="0"/>
    </cacheField>
    <cacheField name="[Sales_Data].[Product].[Product]" caption="Product" numFmtId="0" hierarchy="3"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3"/>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Product Wise Total Sales]" caption="Product Wise Total Sales" attribute="1" defaultMemberUniqueName="[Sales_Data].[Product Wise Total Sales].[All]" allUniqueName="[Sales_Data].[Product Wise Total Sales].[All]" dimensionUniqueName="[Sales_Data]" displayFolder="" count="0" memberValueDatatype="2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Sum of Sales Amount]" caption="Sum of Sales Amount" measure="1" displayFolder="" measureGroup="Sales_Data"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_Data" count="0" oneField="1">
      <fieldsUsage count="1">
        <fieldUsage x="0"/>
      </fieldsUsage>
    </cacheHierarchy>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98.822049305556" createdVersion="5" refreshedVersion="8" minRefreshableVersion="3" recordCount="0" supportSubquery="1" supportAdvancedDrill="1" xr:uid="{6B8F4B36-A25E-469B-9A96-4A5DD28A319A}">
  <cacheSource type="external" connectionId="2"/>
  <cacheFields count="4">
    <cacheField name="[Measures].[Total Sales]" caption="Total Sales" numFmtId="0" hierarchy="11" level="32767"/>
    <cacheField name="[Sales_Data].[Product].[Product]" caption="Product" numFmtId="0" hierarchy="3" level="1">
      <sharedItems count="10">
        <s v="Headset"/>
        <s v="Keyboard"/>
        <s v="Laptop"/>
        <s v="Monitor"/>
        <s v="Mouse"/>
        <s v="Printer"/>
        <s v="Ram"/>
        <s v="Ssd"/>
        <s v="Tablet"/>
        <s v="Webcam"/>
      </sharedItems>
    </cacheField>
    <cacheField name="[Sales_Data].[Order Date].[Order Date]" caption="Order Date" numFmtId="0" level="1">
      <sharedItems containsSemiMixedTypes="0" containsNonDate="0" containsString="0"/>
    </cacheField>
    <cacheField name="[Sales_Data].[Region].[Region]" caption="Region" numFmtId="0" hierarchy="1"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Product Wise Total Sales]" caption="Product Wise Total Sales" attribute="1" defaultMemberUniqueName="[Sales_Data].[Product Wise Total Sales].[All]" allUniqueName="[Sales_Data].[Product Wise Total Sales].[All]" dimensionUniqueName="[Sales_Data]" displayFolder="" count="0" memberValueDatatype="2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Sum of Sales Amount]" caption="Sum of Sales Amount" measure="1" displayFolder="" measureGroup="Sales_Data"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_Data" count="0" oneField="1">
      <fieldsUsage count="1">
        <fieldUsage x="0"/>
      </fieldsUsage>
    </cacheHierarchy>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98.822053703705" createdVersion="5" refreshedVersion="8" minRefreshableVersion="3" recordCount="0" supportSubquery="1" supportAdvancedDrill="1" xr:uid="{6E53B1C7-712B-436E-89AB-8A8B96BC6110}">
  <cacheSource type="external" connectionId="2"/>
  <cacheFields count="4">
    <cacheField name="[Measures].[Total Quantity Sold]" caption="Total Quantity Sold" numFmtId="0" hierarchy="12" level="32767"/>
    <cacheField name="[Sales_Data].[Product].[Product]" caption="Product" numFmtId="0" hierarchy="3" level="1">
      <sharedItems count="10">
        <s v="Headset"/>
        <s v="Keyboard"/>
        <s v="Laptop"/>
        <s v="Monitor"/>
        <s v="Mouse"/>
        <s v="Printer"/>
        <s v="Ram"/>
        <s v="Ssd"/>
        <s v="Tablet"/>
        <s v="Webcam"/>
      </sharedItems>
    </cacheField>
    <cacheField name="[Sales_Data].[Order Date].[Order Date]" caption="Order Date" numFmtId="0" level="1">
      <sharedItems containsSemiMixedTypes="0" containsNonDate="0" containsString="0"/>
    </cacheField>
    <cacheField name="[Sales_Data].[Region].[Region]" caption="Region" numFmtId="0" hierarchy="1"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Product Wise Total Sales]" caption="Product Wise Total Sales" attribute="1" defaultMemberUniqueName="[Sales_Data].[Product Wise Total Sales].[All]" allUniqueName="[Sales_Data].[Product Wise Total Sales].[All]" dimensionUniqueName="[Sales_Data]" displayFolder="" count="0" memberValueDatatype="2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Sum of Sales Amount]" caption="Sum of Sales Amount" measure="1" displayFolder="" measureGroup="Sales_Data"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_Data" count="0"/>
    <cacheHierarchy uniqueName="[Measures].[Total Quantity Sold]" caption="Total Quantity Sold" measure="1" displayFolder="" measureGroup="Sales_Data" count="0" oneField="1">
      <fieldsUsage count="1">
        <fieldUsage x="0"/>
      </fieldsUsage>
    </cacheHierarchy>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98.822058217593" createdVersion="5" refreshedVersion="8" minRefreshableVersion="3" recordCount="0" supportSubquery="1" supportAdvancedDrill="1" xr:uid="{75DC32B6-F834-44CE-A96F-9A93E35FEBCE}">
  <cacheSource type="external" connectionId="2"/>
  <cacheFields count="4">
    <cacheField name="[Sales_Data].[Product].[Product]" caption="Product" numFmtId="0" hierarchy="3" level="1">
      <sharedItems count="10">
        <s v="Headset"/>
        <s v="Keyboard"/>
        <s v="Laptop"/>
        <s v="Monitor"/>
        <s v="Mouse"/>
        <s v="Printer"/>
        <s v="Ram"/>
        <s v="Ssd"/>
        <s v="Tablet"/>
        <s v="Webcam"/>
      </sharedItems>
    </cacheField>
    <cacheField name="[Measures].[Average Sales Per Order]" caption="Average Sales Per Order" numFmtId="0" hierarchy="13" level="32767"/>
    <cacheField name="[Sales_Data].[Order Date].[Order Date]" caption="Order Date" numFmtId="0" level="1">
      <sharedItems containsSemiMixedTypes="0" containsNonDate="0" containsString="0"/>
    </cacheField>
    <cacheField name="[Sales_Data].[Region].[Region]" caption="Region" numFmtId="0" hierarchy="1"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Product Wise Total Sales]" caption="Product Wise Total Sales" attribute="1" defaultMemberUniqueName="[Sales_Data].[Product Wise Total Sales].[All]" allUniqueName="[Sales_Data].[Product Wise Total Sales].[All]" dimensionUniqueName="[Sales_Data]" displayFolder="" count="0" memberValueDatatype="2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Sum of Sales Amount]" caption="Sum of Sales Amount" measure="1" displayFolder="" measureGroup="Sales_Data"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_Data" count="0"/>
    <cacheHierarchy uniqueName="[Measures].[Total Quantity Sold]" caption="Total Quantity Sold" measure="1" displayFolder="" measureGroup="Sales_Data" count="0"/>
    <cacheHierarchy uniqueName="[Measures].[Average Sales Per Order]" caption="Average Sales Per Order" measure="1" displayFolder="" measureGroup="Sales_Data" count="0" oneField="1">
      <fieldsUsage count="1">
        <fieldUsage x="1"/>
      </fieldsUsage>
    </cacheHierarchy>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98.822064467589" createdVersion="5" refreshedVersion="8" minRefreshableVersion="3" recordCount="0" supportSubquery="1" supportAdvancedDrill="1" xr:uid="{51C942B7-2E86-4269-9B8A-D859A22204DC}">
  <cacheSource type="external" connectionId="2"/>
  <cacheFields count="5">
    <cacheField name="[Measures].[Total Sales]" caption="Total Sales" numFmtId="0" hierarchy="11" level="32767"/>
    <cacheField name="[Sales_Data].[Order Date].[Order Date]" caption="Order Date" numFmtId="0" level="1">
      <sharedItems containsSemiMixedTypes="0" containsNonDate="0" containsDate="1" containsString="0" minDate="2024-01-05T00:00:00" maxDate="2024-02-27T00:00:00" count="15">
        <d v="2024-01-05T00:00:00"/>
        <d v="2024-01-08T00:00:00"/>
        <d v="2024-01-12T00:00:00"/>
        <d v="2024-01-15T00:00:00"/>
        <d v="2024-01-18T00:00:00"/>
        <d v="2024-01-21T00:00:00"/>
        <d v="2024-01-25T00:00:00"/>
        <d v="2024-01-28T00:00:00"/>
        <d v="2024-02-02T00:00:00"/>
        <d v="2024-02-06T00:00:00"/>
        <d v="2024-02-10T00:00:00"/>
        <d v="2024-02-14T00:00:00"/>
        <d v="2024-02-18T00:00:00"/>
        <d v="2024-02-22T00:00:00"/>
        <d v="2024-02-26T00:00:00"/>
      </sharedItems>
    </cacheField>
    <cacheField name="[Sales_Data].[Order Date (Month)].[Order Date (Month)]" caption="Order Date (Month)" numFmtId="0" hierarchy="7" level="1">
      <sharedItems count="2">
        <s v="Jan"/>
        <s v="Feb"/>
      </sharedItems>
    </cacheField>
    <cacheField name="[Sales_Data].[Region].[Region]" caption="Region" numFmtId="0" hierarchy="1" level="1">
      <sharedItems containsSemiMixedTypes="0" containsNonDate="0" containsString="0"/>
    </cacheField>
    <cacheField name="[Sales_Data].[Product].[Product]" caption="Product" numFmtId="0" hierarchy="3" level="1">
      <sharedItems containsSemiMixedTypes="0" containsNonDate="0" containsString="0"/>
    </cacheField>
  </cacheFields>
  <cacheHierarchies count="16">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4"/>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Product Wise Total Sales]" caption="Product Wise Total Sales" attribute="1" defaultMemberUniqueName="[Sales_Data].[Product Wise Total Sales].[All]" allUniqueName="[Sales_Data].[Product Wise Total Sales].[All]" dimensionUniqueName="[Sales_Data]" displayFolder="" count="0" memberValueDatatype="20" unbalanced="0"/>
    <cacheHierarchy uniqueName="[Sales_Data].[Order Date (Month)]" caption="Order Date (Month)" attribute="1" defaultMemberUniqueName="[Sales_Data].[Order Date (Month)].[All]" allUniqueName="[Sales_Data].[Order Date (Month)].[All]" dimensionUniqueName="[Sales_Data]" displayFolder="" count="2" memberValueDatatype="130" unbalanced="0">
      <fieldsUsage count="2">
        <fieldUsage x="-1"/>
        <fieldUsage x="2"/>
      </fieldsUsage>
    </cacheHierarchy>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Sum of Sales Amount]" caption="Sum of Sales Amount" measure="1" displayFolder="" measureGroup="Sales_Data"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_Data" count="0" oneField="1">
      <fieldsUsage count="1">
        <fieldUsage x="0"/>
      </fieldsUsage>
    </cacheHierarchy>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jad" refreshedDate="46198.822040624997" createdVersion="3" refreshedVersion="8" minRefreshableVersion="3" recordCount="0" supportSubquery="1" supportAdvancedDrill="1" xr:uid="{255E5085-6D80-4BAD-816E-5BA7417C821C}">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Customer]" caption="Customer" attribute="1" defaultMemberUniqueName="[Sales_Data].[Customer].[All]" allUniqueName="[Sales_Data].[Customer].[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ales_Data].[Product Wise Total Sales]" caption="Product Wise Total Sales" attribute="1" defaultMemberUniqueName="[Sales_Data].[Product Wise Total Sales].[All]" allUniqueName="[Sales_Data].[Product Wise Total Sales].[All]" dimensionUniqueName="[Sales_Data]" displayFolder="" count="0" memberValueDatatype="2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Sum of Sales Amount]" caption="Sum of Sales Amount" measure="1" displayFolder="" measureGroup="Sales_Data" count="0">
      <extLst>
        <ext xmlns:x15="http://schemas.microsoft.com/office/spreadsheetml/2010/11/main" uri="{B97F6D7D-B522-45F9-BDA1-12C45D357490}">
          <x15:cacheHierarchy aggregatedColumn="5"/>
        </ext>
      </extLst>
    </cacheHierarchy>
    <cacheHierarchy uniqueName="[Measures].[Total Sales]" caption="Total Sales" measure="1" displayFolder="" measureGroup="Sales_Data" count="0"/>
    <cacheHierarchy uniqueName="[Measures].[Total Quantity Sold]" caption="Total Quantity Sold" measure="1" displayFolder="" measureGroup="Sales_Data" count="0"/>
    <cacheHierarchy uniqueName="[Measures].[Average Sales Per Order]" caption="Average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40608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EBE9B9-D7A8-4776-B1CC-30C77E322142}" name="PivotTable3" cacheId="1" applyNumberFormats="0" applyBorderFormats="0" applyFontFormats="0" applyPatternFormats="0" applyAlignmentFormats="0" applyWidthHeightFormats="1" dataCaption="Values" tag="8edcee37-b89f-4bf0-9a13-efaaf47fbd8d" updatedVersion="8" minRefreshableVersion="3" useAutoFormatting="1" itemPrintTitles="1" createdVersion="5" indent="0" outline="1" outlineData="1" multipleFieldFilters="0" chartFormat="11">
  <location ref="F3:G14"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6">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6593B-C502-4217-84C2-62FFE6C9526E}" name="PivotTable1" cacheId="0" applyNumberFormats="0" applyBorderFormats="0" applyFontFormats="0" applyPatternFormats="0" applyAlignmentFormats="0" applyWidthHeightFormats="1" dataCaption="Values" tag="f4223fdc-ae3b-4840-afa5-0687827579dc" updatedVersion="8" minRefreshableVersion="3" useAutoFormatting="1" subtotalHiddenItems="1" itemPrintTitles="1" createdVersion="5" indent="0" outline="1" outlineData="1" multipleFieldFilters="0" chartFormat="5">
  <location ref="B3:C12"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 chart="3" format="15">
      <pivotArea type="data" outline="0" fieldPosition="0">
        <references count="2">
          <reference field="4294967294" count="1" selected="0">
            <x v="0"/>
          </reference>
          <reference field="1" count="1" selected="0">
            <x v="4"/>
          </reference>
        </references>
      </pivotArea>
    </chartFormat>
    <chartFormat chart="3" format="16">
      <pivotArea type="data" outline="0" fieldPosition="0">
        <references count="2">
          <reference field="4294967294" count="1" selected="0">
            <x v="0"/>
          </reference>
          <reference field="1" count="1" selected="0">
            <x v="5"/>
          </reference>
        </references>
      </pivotArea>
    </chartFormat>
    <chartFormat chart="3" format="17">
      <pivotArea type="data" outline="0" fieldPosition="0">
        <references count="2">
          <reference field="4294967294" count="1" selected="0">
            <x v="0"/>
          </reference>
          <reference field="1" count="1" selected="0">
            <x v="6"/>
          </reference>
        </references>
      </pivotArea>
    </chartFormat>
    <chartFormat chart="3" format="18">
      <pivotArea type="data" outline="0" fieldPosition="0">
        <references count="2">
          <reference field="4294967294" count="1" selected="0">
            <x v="0"/>
          </reference>
          <reference field="1" count="1" selected="0">
            <x v="7"/>
          </reference>
        </references>
      </pivotArea>
    </chartFormat>
  </chartFormats>
  <pivotHierarchies count="16">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2B411-DDDF-4B2B-BACE-DF2A388E94E5}" name="PivotTable11" cacheId="3" applyNumberFormats="0" applyBorderFormats="0" applyFontFormats="0" applyPatternFormats="0" applyAlignmentFormats="0" applyWidthHeightFormats="1" dataCaption="Values" tag="f53c481e-68de-4288-92c6-2d65b11b3109" updatedVersion="8" minRefreshableVersion="3" useAutoFormatting="1" subtotalHiddenItems="1" itemPrintTitles="1" createdVersion="5" indent="0" outline="1" outlineData="1" multipleFieldFilters="0" chartFormat="5">
  <location ref="M10:N21"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
  </dataFields>
  <formats count="1">
    <format dxfId="4">
      <pivotArea outline="0" collapsedLevelsAreSubtotals="1" fieldPosition="0"/>
    </format>
  </formats>
  <pivotHierarchies count="16">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3CE9A-6718-44FB-8A0A-BB5DC7B13B02}" name="PivotTable10" cacheId="2" applyNumberFormats="0" applyBorderFormats="0" applyFontFormats="0" applyPatternFormats="0" applyAlignmentFormats="0" applyWidthHeightFormats="1" dataCaption="Values" tag="f10c67de-9041-419b-8812-a753e74cfb42" updatedVersion="8" minRefreshableVersion="3" useAutoFormatting="1" subtotalHiddenItems="1" itemPrintTitles="1" createdVersion="5" indent="0" outline="1" outlineData="1" multipleFieldFilters="0" chartFormat="5">
  <location ref="J10:K21"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pivotHierarchies count="16">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0AC8F-E168-4B2A-B20C-0ECBB8A75041}" name="PivotTable4" cacheId="4" applyNumberFormats="0" applyBorderFormats="0" applyFontFormats="0" applyPatternFormats="0" applyAlignmentFormats="0" applyWidthHeightFormats="1" dataCaption="Values" tag="0a295650-4705-4204-ad8b-63a8e7457365" updatedVersion="8" minRefreshableVersion="3" subtotalHiddenItems="1" itemPrintTitles="1" createdVersion="5" indent="0" outline="1" outlineData="1" multipleFieldFilters="0" chartFormat="6">
  <location ref="J3:K6" firstHeaderRow="1" firstDataRow="1" firstDataCol="1"/>
  <pivotFields count="5">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2">
        <item x="0" e="0"/>
        <item x="1" e="0"/>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3">
    <i>
      <x/>
    </i>
    <i>
      <x v="1"/>
    </i>
    <i t="grand">
      <x/>
    </i>
  </rowItems>
  <colItems count="1">
    <i/>
  </colItems>
  <dataFields count="1">
    <dataFiel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Hierarchies count="16">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C922BA-594A-46C4-AED8-3E613EDB53A4}" autoFormatId="16" applyNumberFormats="0" applyBorderFormats="0" applyFontFormats="0" applyPatternFormats="0" applyAlignmentFormats="0" applyWidthHeightFormats="0">
  <queryTableRefresh nextId="8">
    <queryTableFields count="7">
      <queryTableField id="1" name="Order Date" tableColumnId="1"/>
      <queryTableField id="2" name="Region" tableColumnId="2"/>
      <queryTableField id="3" name="Customer" tableColumnId="3"/>
      <queryTableField id="4" name="Product" tableColumnId="4"/>
      <queryTableField id="5" name="Quantity" tableColumnId="5"/>
      <queryTableField id="6" name="Sales Amount" tableColumnId="6"/>
      <queryTableField id="7" name="Product Wise Total Sale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FCF46C-2F56-4520-9C56-1B46B6424D29}" sourceName="[Sales_Data].[Region]">
  <pivotTables>
    <pivotTable tabId="3" name="PivotTable1"/>
    <pivotTable tabId="3" name="PivotTable3"/>
    <pivotTable tabId="3" name="PivotTable4"/>
    <pivotTable tabId="3" name="PivotTable10"/>
    <pivotTable tabId="3" name="PivotTable11"/>
  </pivotTables>
  <data>
    <olap pivotCacheId="1824060813">
      <levels count="2">
        <level uniqueName="[Sales_Data].[Region].[(All)]" sourceCaption="(All)" count="0"/>
        <level uniqueName="[Sales_Data].[Region].[Region]" sourceCaption="Region" count="8">
          <ranges>
            <range startItem="0">
              <i n="[Sales_Data].[Region].&amp;[Barishal]" c="Barishal"/>
              <i n="[Sales_Data].[Region].&amp;[Chattogram]" c="Chattogram"/>
              <i n="[Sales_Data].[Region].&amp;[Dhaka]" c="Dhaka"/>
              <i n="[Sales_Data].[Region].&amp;[Khulna]" c="Khulna"/>
              <i n="[Sales_Data].[Region].&amp;[Mymensingh]" c="Mymensingh"/>
              <i n="[Sales_Data].[Region].&amp;[Rajshahi]" c="Rajshahi"/>
              <i n="[Sales_Data].[Region].&amp;[Rangpur]" c="Rangpur"/>
              <i n="[Sales_Data].[Region].&amp;[Sylhet]" c="Sylhet"/>
            </range>
          </ranges>
        </level>
      </levels>
      <selections count="1">
        <selection n="[Sales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E61C1CB-A3E8-48E9-BE40-9D4D41A29D5C}" sourceName="[Sales_Data].[Product]">
  <pivotTables>
    <pivotTable tabId="3" name="PivotTable3"/>
    <pivotTable tabId="3" name="PivotTable1"/>
    <pivotTable tabId="3" name="PivotTable4"/>
    <pivotTable tabId="3" name="PivotTable10"/>
    <pivotTable tabId="3" name="PivotTable11"/>
  </pivotTables>
  <data>
    <olap pivotCacheId="1824060813">
      <levels count="2">
        <level uniqueName="[Sales_Data].[Product].[(All)]" sourceCaption="(All)" count="0"/>
        <level uniqueName="[Sales_Data].[Product].[Product]" sourceCaption="Product" count="10">
          <ranges>
            <range startItem="0">
              <i n="[Sales_Data].[Product].&amp;[Headset]" c="Headset"/>
              <i n="[Sales_Data].[Product].&amp;[Keyboard]" c="Keyboard"/>
              <i n="[Sales_Data].[Product].&amp;[Laptop]" c="Laptop"/>
              <i n="[Sales_Data].[Product].&amp;[Monitor]" c="Monitor"/>
              <i n="[Sales_Data].[Product].&amp;[Mouse]" c="Mouse"/>
              <i n="[Sales_Data].[Product].&amp;[Printer]" c="Printer"/>
              <i n="[Sales_Data].[Product].&amp;[Ram]" c="Ram"/>
              <i n="[Sales_Data].[Product].&amp;[Ssd]" c="Ssd"/>
              <i n="[Sales_Data].[Product].&amp;[Tablet]" c="Tablet"/>
              <i n="[Sales_Data].[Product].&amp;[Webcam]" c="Webcam"/>
            </range>
          </ranges>
        </level>
      </levels>
      <selections count="1">
        <selection n="[Sales_Data].[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1457148-68FF-472A-AC49-F938F45D4542}" sourceName="[Sales_Data].[Order Date]">
  <pivotTables>
    <pivotTable tabId="3" name="PivotTable4"/>
    <pivotTable tabId="3" name="PivotTable1"/>
    <pivotTable tabId="3" name="PivotTable3"/>
    <pivotTable tabId="3" name="PivotTable10"/>
    <pivotTable tabId="3" name="PivotTable11"/>
  </pivotTables>
  <data>
    <olap pivotCacheId="1824060813">
      <levels count="2">
        <level uniqueName="[Sales_Data].[Order Date].[(All)]" sourceCaption="(All)" count="0"/>
        <level uniqueName="[Sales_Data].[Order Date].[Order Date]" sourceCaption="Order Date" count="15">
          <ranges>
            <range startItem="0">
              <i n="[Sales_Data].[Order Date].&amp;[2024-01-05T00:00:00]" c="1/5/2024"/>
              <i n="[Sales_Data].[Order Date].&amp;[2024-01-08T00:00:00]" c="1/8/2024"/>
              <i n="[Sales_Data].[Order Date].&amp;[2024-01-12T00:00:00]" c="1/12/2024"/>
              <i n="[Sales_Data].[Order Date].&amp;[2024-01-15T00:00:00]" c="1/15/2024"/>
              <i n="[Sales_Data].[Order Date].&amp;[2024-01-18T00:00:00]" c="1/18/2024"/>
              <i n="[Sales_Data].[Order Date].&amp;[2024-01-21T00:00:00]" c="1/21/2024"/>
              <i n="[Sales_Data].[Order Date].&amp;[2024-01-25T00:00:00]" c="1/25/2024"/>
              <i n="[Sales_Data].[Order Date].&amp;[2024-01-28T00:00:00]" c="1/28/2024"/>
              <i n="[Sales_Data].[Order Date].&amp;[2024-02-02T00:00:00]" c="2/2/2024"/>
              <i n="[Sales_Data].[Order Date].&amp;[2024-02-06T00:00:00]" c="2/6/2024"/>
              <i n="[Sales_Data].[Order Date].&amp;[2024-02-10T00:00:00]" c="2/10/2024"/>
              <i n="[Sales_Data].[Order Date].&amp;[2024-02-14T00:00:00]" c="2/14/2024"/>
              <i n="[Sales_Data].[Order Date].&amp;[2024-02-18T00:00:00]" c="2/18/2024"/>
              <i n="[Sales_Data].[Order Date].&amp;[2024-02-22T00:00:00]" c="2/22/2024"/>
              <i n="[Sales_Data].[Order Date].&amp;[2024-02-26T00:00:00]" c="2/26/2024"/>
            </range>
          </ranges>
        </level>
      </levels>
      <selections count="1">
        <selection n="[Sales_Data].[Order 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509E7E-FF6E-40FB-819C-B842C4FB6DB8}" cache="Slicer_Region" caption="Region" startItem="2" columnCount="2" level="1" rowHeight="247650"/>
  <slicer name="Product" xr10:uid="{7D4DBDB0-FE5D-4D4C-A01C-5E19153730F1}" cache="Slicer_Product" caption="Product" startItem="3" columnCount="3" level="1" rowHeight="247650"/>
  <slicer name="Order Date" xr10:uid="{CBEC5B23-14B3-44A6-9C5D-DD1239DCF591}" cache="Slicer_Order_Date" caption="Order Date" columnCount="2"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1F9B61-C020-436B-AA58-204567293371}" name="Sales_Data" displayName="Sales_Data" ref="A1:G16" tableType="queryTable" totalsRowShown="0">
  <autoFilter ref="A1:G16" xr:uid="{041F9B61-C020-436B-AA58-204567293371}"/>
  <tableColumns count="7">
    <tableColumn id="1" xr3:uid="{BB13AF3A-A429-4DE1-806B-47B8688C570E}" uniqueName="1" name="Order Date" queryTableFieldId="1" dataDxfId="3"/>
    <tableColumn id="2" xr3:uid="{197FB5DA-F7BF-4560-86FF-B77A02E86B6C}" uniqueName="2" name="Region" queryTableFieldId="2" dataDxfId="2"/>
    <tableColumn id="3" xr3:uid="{C72BC38F-8BD6-470E-892F-1ED1A40BD657}" uniqueName="3" name="Customer" queryTableFieldId="3" dataDxfId="1"/>
    <tableColumn id="4" xr3:uid="{27383332-A0E4-4CCA-981F-8542E57A0265}" uniqueName="4" name="Product" queryTableFieldId="4" dataDxfId="0"/>
    <tableColumn id="5" xr3:uid="{01DFB42A-B676-4C36-A3E5-FCF9F9092209}" uniqueName="5" name="Quantity" queryTableFieldId="5"/>
    <tableColumn id="6" xr3:uid="{88F678BA-0F77-499C-BA96-1C7F58DAC219}" uniqueName="6" name="Sales Amount" queryTableFieldId="6"/>
    <tableColumn id="7" xr3:uid="{0837A2C4-A1E9-4389-8EA5-019DA036C78C}" uniqueName="7" name="Product Wise Total Sale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E283-B201-4738-91DF-0B113966F94C}">
  <dimension ref="B1:N21"/>
  <sheetViews>
    <sheetView workbookViewId="0">
      <selection activeCell="F21" sqref="F21"/>
    </sheetView>
  </sheetViews>
  <sheetFormatPr defaultRowHeight="14.4" x14ac:dyDescent="0.3"/>
  <cols>
    <col min="2" max="2" width="12.44140625" bestFit="1" customWidth="1"/>
    <col min="3" max="3" width="10" bestFit="1" customWidth="1"/>
    <col min="4" max="4" width="8.88671875" bestFit="1" customWidth="1"/>
    <col min="5" max="5" width="16.77734375" bestFit="1" customWidth="1"/>
    <col min="6" max="6" width="12.44140625" bestFit="1" customWidth="1"/>
    <col min="7" max="7" width="10" bestFit="1" customWidth="1"/>
    <col min="8" max="8" width="9.33203125" bestFit="1" customWidth="1"/>
    <col min="9" max="9" width="4.77734375" bestFit="1" customWidth="1"/>
    <col min="10" max="10" width="12.44140625" bestFit="1" customWidth="1"/>
    <col min="11" max="11" width="16.77734375" bestFit="1" customWidth="1"/>
    <col min="12" max="12" width="2.44140625" customWidth="1"/>
    <col min="13" max="13" width="12.44140625" bestFit="1" customWidth="1"/>
    <col min="14" max="14" width="20.88671875" bestFit="1" customWidth="1"/>
  </cols>
  <sheetData>
    <row r="1" spans="2:14" x14ac:dyDescent="0.3">
      <c r="B1" t="s">
        <v>47</v>
      </c>
      <c r="F1" t="s">
        <v>48</v>
      </c>
      <c r="J1" t="s">
        <v>49</v>
      </c>
    </row>
    <row r="3" spans="2:14" x14ac:dyDescent="0.3">
      <c r="B3" s="2" t="s">
        <v>40</v>
      </c>
      <c r="C3" t="s">
        <v>42</v>
      </c>
      <c r="F3" s="2" t="s">
        <v>40</v>
      </c>
      <c r="G3" t="s">
        <v>42</v>
      </c>
      <c r="J3" s="2" t="s">
        <v>40</v>
      </c>
      <c r="K3" t="s">
        <v>42</v>
      </c>
    </row>
    <row r="4" spans="2:14" x14ac:dyDescent="0.3">
      <c r="B4" s="3" t="s">
        <v>22</v>
      </c>
      <c r="C4">
        <v>480</v>
      </c>
      <c r="F4" s="3" t="s">
        <v>24</v>
      </c>
      <c r="G4">
        <v>240</v>
      </c>
      <c r="J4" s="3" t="s">
        <v>45</v>
      </c>
      <c r="K4">
        <v>3040</v>
      </c>
    </row>
    <row r="5" spans="2:14" x14ac:dyDescent="0.3">
      <c r="B5" s="3" t="s">
        <v>10</v>
      </c>
      <c r="C5">
        <v>750</v>
      </c>
      <c r="F5" s="3" t="s">
        <v>15</v>
      </c>
      <c r="G5">
        <v>350</v>
      </c>
      <c r="J5" s="3" t="s">
        <v>46</v>
      </c>
      <c r="K5">
        <v>2680</v>
      </c>
    </row>
    <row r="6" spans="2:14" x14ac:dyDescent="0.3">
      <c r="B6" s="3" t="s">
        <v>7</v>
      </c>
      <c r="C6">
        <v>1680</v>
      </c>
      <c r="F6" s="3" t="s">
        <v>9</v>
      </c>
      <c r="G6">
        <v>1850</v>
      </c>
      <c r="J6" s="3" t="s">
        <v>41</v>
      </c>
      <c r="K6">
        <v>5720</v>
      </c>
    </row>
    <row r="7" spans="2:14" x14ac:dyDescent="0.3">
      <c r="B7" s="3" t="s">
        <v>13</v>
      </c>
      <c r="C7">
        <v>560</v>
      </c>
      <c r="F7" s="3" t="s">
        <v>18</v>
      </c>
      <c r="G7">
        <v>900</v>
      </c>
    </row>
    <row r="8" spans="2:14" x14ac:dyDescent="0.3">
      <c r="B8" s="3" t="s">
        <v>28</v>
      </c>
      <c r="C8">
        <v>360</v>
      </c>
      <c r="F8" s="3" t="s">
        <v>12</v>
      </c>
      <c r="G8">
        <v>390</v>
      </c>
    </row>
    <row r="9" spans="2:14" x14ac:dyDescent="0.3">
      <c r="B9" s="3" t="s">
        <v>16</v>
      </c>
      <c r="C9">
        <v>440</v>
      </c>
      <c r="F9" s="3" t="s">
        <v>21</v>
      </c>
      <c r="G9">
        <v>620</v>
      </c>
    </row>
    <row r="10" spans="2:14" x14ac:dyDescent="0.3">
      <c r="B10" s="3" t="s">
        <v>25</v>
      </c>
      <c r="C10">
        <v>400</v>
      </c>
      <c r="F10" s="3" t="s">
        <v>32</v>
      </c>
      <c r="G10">
        <v>480</v>
      </c>
      <c r="J10" s="2" t="s">
        <v>40</v>
      </c>
      <c r="K10" t="s">
        <v>43</v>
      </c>
      <c r="M10" s="2" t="s">
        <v>40</v>
      </c>
      <c r="N10" t="s">
        <v>44</v>
      </c>
    </row>
    <row r="11" spans="2:14" x14ac:dyDescent="0.3">
      <c r="B11" s="3" t="s">
        <v>19</v>
      </c>
      <c r="C11">
        <v>1050</v>
      </c>
      <c r="F11" s="3" t="s">
        <v>30</v>
      </c>
      <c r="G11">
        <v>360</v>
      </c>
      <c r="J11" s="3" t="s">
        <v>24</v>
      </c>
      <c r="K11">
        <v>4</v>
      </c>
      <c r="M11" s="3" t="s">
        <v>24</v>
      </c>
      <c r="N11" s="4">
        <v>60</v>
      </c>
    </row>
    <row r="12" spans="2:14" x14ac:dyDescent="0.3">
      <c r="B12" s="3" t="s">
        <v>41</v>
      </c>
      <c r="C12">
        <v>5720</v>
      </c>
      <c r="F12" s="3" t="s">
        <v>34</v>
      </c>
      <c r="G12">
        <v>350</v>
      </c>
      <c r="J12" s="3" t="s">
        <v>15</v>
      </c>
      <c r="K12">
        <v>5</v>
      </c>
      <c r="M12" s="3" t="s">
        <v>15</v>
      </c>
      <c r="N12" s="4">
        <v>70</v>
      </c>
    </row>
    <row r="13" spans="2:14" x14ac:dyDescent="0.3">
      <c r="F13" s="3" t="s">
        <v>27</v>
      </c>
      <c r="G13">
        <v>180</v>
      </c>
      <c r="J13" s="3" t="s">
        <v>9</v>
      </c>
      <c r="K13">
        <v>3</v>
      </c>
      <c r="M13" s="3" t="s">
        <v>9</v>
      </c>
      <c r="N13" s="4">
        <v>616.66666666666663</v>
      </c>
    </row>
    <row r="14" spans="2:14" x14ac:dyDescent="0.3">
      <c r="F14" s="3" t="s">
        <v>41</v>
      </c>
      <c r="G14">
        <v>5720</v>
      </c>
      <c r="J14" s="3" t="s">
        <v>18</v>
      </c>
      <c r="K14">
        <v>3</v>
      </c>
      <c r="M14" s="3" t="s">
        <v>18</v>
      </c>
      <c r="N14" s="4">
        <v>300</v>
      </c>
    </row>
    <row r="15" spans="2:14" x14ac:dyDescent="0.3">
      <c r="J15" s="3" t="s">
        <v>12</v>
      </c>
      <c r="K15">
        <v>13</v>
      </c>
      <c r="M15" s="3" t="s">
        <v>12</v>
      </c>
      <c r="N15" s="4">
        <v>30</v>
      </c>
    </row>
    <row r="16" spans="2:14" x14ac:dyDescent="0.3">
      <c r="B16" t="s">
        <v>53</v>
      </c>
      <c r="J16" s="3" t="s">
        <v>21</v>
      </c>
      <c r="K16">
        <v>3</v>
      </c>
      <c r="M16" s="3" t="s">
        <v>21</v>
      </c>
      <c r="N16" s="4">
        <v>206.66666666666666</v>
      </c>
    </row>
    <row r="17" spans="2:14" x14ac:dyDescent="0.3">
      <c r="J17" s="3" t="s">
        <v>32</v>
      </c>
      <c r="K17">
        <v>6</v>
      </c>
      <c r="M17" s="3" t="s">
        <v>32</v>
      </c>
      <c r="N17" s="4">
        <v>80</v>
      </c>
    </row>
    <row r="18" spans="2:14" x14ac:dyDescent="0.3">
      <c r="B18" t="s">
        <v>42</v>
      </c>
      <c r="C18">
        <f>IFERROR(GETPIVOTDATA("[Measures].[Total Sales]",$B$3),0)</f>
        <v>5720</v>
      </c>
      <c r="J18" s="3" t="s">
        <v>30</v>
      </c>
      <c r="K18">
        <v>3</v>
      </c>
      <c r="M18" s="3" t="s">
        <v>30</v>
      </c>
      <c r="N18" s="4">
        <v>120</v>
      </c>
    </row>
    <row r="19" spans="2:14" x14ac:dyDescent="0.3">
      <c r="B19" t="s">
        <v>50</v>
      </c>
      <c r="C19">
        <f>IFERROR(GETPIVOTDATA("[Measures].[Total Quantity Sold]",$J$10),0)</f>
        <v>43</v>
      </c>
      <c r="H19" s="1"/>
      <c r="J19" s="3" t="s">
        <v>34</v>
      </c>
      <c r="K19">
        <v>1</v>
      </c>
      <c r="M19" s="3" t="s">
        <v>34</v>
      </c>
      <c r="N19" s="4">
        <v>350</v>
      </c>
    </row>
    <row r="20" spans="2:14" x14ac:dyDescent="0.3">
      <c r="B20" t="s">
        <v>51</v>
      </c>
      <c r="C20" s="4">
        <f>IFERROR(GETPIVOTDATA("[Measures].[Average Sales Per Order]",$M$10),0)</f>
        <v>133.02325581395348</v>
      </c>
      <c r="J20" s="3" t="s">
        <v>27</v>
      </c>
      <c r="K20">
        <v>2</v>
      </c>
      <c r="M20" s="3" t="s">
        <v>27</v>
      </c>
      <c r="N20" s="4">
        <v>90</v>
      </c>
    </row>
    <row r="21" spans="2:14" x14ac:dyDescent="0.3">
      <c r="B21" t="s">
        <v>52</v>
      </c>
      <c r="C21" s="1">
        <f ca="1">TODAY()</f>
        <v>46208</v>
      </c>
      <c r="J21" s="3" t="s">
        <v>41</v>
      </c>
      <c r="K21">
        <v>43</v>
      </c>
      <c r="M21" s="3" t="s">
        <v>41</v>
      </c>
      <c r="N21" s="4">
        <v>133.02325581395348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657C-4E15-4EC0-8772-CDA818B1124A}">
  <dimension ref="A1:G16"/>
  <sheetViews>
    <sheetView tabSelected="1" workbookViewId="0">
      <selection activeCell="J10" sqref="J10"/>
    </sheetView>
  </sheetViews>
  <sheetFormatPr defaultRowHeight="14.4" x14ac:dyDescent="0.3"/>
  <cols>
    <col min="1" max="1" width="12.21875" bestFit="1" customWidth="1"/>
    <col min="2" max="2" width="11" bestFit="1" customWidth="1"/>
    <col min="3" max="3" width="11.33203125" bestFit="1" customWidth="1"/>
    <col min="4" max="4" width="9.77734375" bestFit="1" customWidth="1"/>
    <col min="5" max="5" width="10.33203125" bestFit="1" customWidth="1"/>
    <col min="6" max="6" width="14.5546875" bestFit="1" customWidth="1"/>
    <col min="7" max="7" width="23.88671875" bestFit="1" customWidth="1"/>
  </cols>
  <sheetData>
    <row r="1" spans="1:7" x14ac:dyDescent="0.3">
      <c r="A1" t="s">
        <v>0</v>
      </c>
      <c r="B1" t="s">
        <v>1</v>
      </c>
      <c r="C1" t="s">
        <v>2</v>
      </c>
      <c r="D1" t="s">
        <v>3</v>
      </c>
      <c r="E1" t="s">
        <v>4</v>
      </c>
      <c r="F1" t="s">
        <v>5</v>
      </c>
      <c r="G1" t="s">
        <v>6</v>
      </c>
    </row>
    <row r="2" spans="1:7" x14ac:dyDescent="0.3">
      <c r="A2" s="1">
        <v>45296</v>
      </c>
      <c r="B2" t="s">
        <v>7</v>
      </c>
      <c r="C2" t="s">
        <v>8</v>
      </c>
      <c r="D2" t="s">
        <v>9</v>
      </c>
      <c r="E2">
        <v>2</v>
      </c>
      <c r="F2">
        <v>1200</v>
      </c>
      <c r="G2">
        <v>2400</v>
      </c>
    </row>
    <row r="3" spans="1:7" x14ac:dyDescent="0.3">
      <c r="A3" s="1">
        <v>45299</v>
      </c>
      <c r="B3" t="s">
        <v>10</v>
      </c>
      <c r="C3" t="s">
        <v>11</v>
      </c>
      <c r="D3" t="s">
        <v>12</v>
      </c>
      <c r="E3">
        <v>5</v>
      </c>
      <c r="F3">
        <v>150</v>
      </c>
      <c r="G3">
        <v>750</v>
      </c>
    </row>
    <row r="4" spans="1:7" x14ac:dyDescent="0.3">
      <c r="A4" s="1">
        <v>45303</v>
      </c>
      <c r="B4" t="s">
        <v>13</v>
      </c>
      <c r="C4" t="s">
        <v>14</v>
      </c>
      <c r="D4" t="s">
        <v>15</v>
      </c>
      <c r="E4">
        <v>3</v>
      </c>
      <c r="F4">
        <v>210</v>
      </c>
      <c r="G4">
        <v>630</v>
      </c>
    </row>
    <row r="5" spans="1:7" x14ac:dyDescent="0.3">
      <c r="A5" s="1">
        <v>45306</v>
      </c>
      <c r="B5" t="s">
        <v>16</v>
      </c>
      <c r="C5" t="s">
        <v>17</v>
      </c>
      <c r="D5" t="s">
        <v>18</v>
      </c>
      <c r="E5">
        <v>1</v>
      </c>
      <c r="F5">
        <v>300</v>
      </c>
      <c r="G5">
        <v>300</v>
      </c>
    </row>
    <row r="6" spans="1:7" x14ac:dyDescent="0.3">
      <c r="A6" s="1">
        <v>45309</v>
      </c>
      <c r="B6" t="s">
        <v>19</v>
      </c>
      <c r="C6" t="s">
        <v>20</v>
      </c>
      <c r="D6" t="s">
        <v>21</v>
      </c>
      <c r="E6">
        <v>2</v>
      </c>
      <c r="F6">
        <v>400</v>
      </c>
      <c r="G6">
        <v>800</v>
      </c>
    </row>
    <row r="7" spans="1:7" x14ac:dyDescent="0.3">
      <c r="A7" s="1">
        <v>45312</v>
      </c>
      <c r="B7" t="s">
        <v>22</v>
      </c>
      <c r="C7" t="s">
        <v>23</v>
      </c>
      <c r="D7" t="s">
        <v>24</v>
      </c>
      <c r="E7">
        <v>4</v>
      </c>
      <c r="F7">
        <v>240</v>
      </c>
      <c r="G7">
        <v>960</v>
      </c>
    </row>
    <row r="8" spans="1:7" x14ac:dyDescent="0.3">
      <c r="A8" s="1">
        <v>45316</v>
      </c>
      <c r="B8" t="s">
        <v>25</v>
      </c>
      <c r="C8" t="s">
        <v>26</v>
      </c>
      <c r="D8" t="s">
        <v>27</v>
      </c>
      <c r="E8">
        <v>2</v>
      </c>
      <c r="F8">
        <v>180</v>
      </c>
      <c r="G8">
        <v>360</v>
      </c>
    </row>
    <row r="9" spans="1:7" x14ac:dyDescent="0.3">
      <c r="A9" s="1">
        <v>45319</v>
      </c>
      <c r="B9" t="s">
        <v>28</v>
      </c>
      <c r="C9" t="s">
        <v>29</v>
      </c>
      <c r="D9" t="s">
        <v>30</v>
      </c>
      <c r="E9">
        <v>3</v>
      </c>
      <c r="F9">
        <v>360</v>
      </c>
      <c r="G9">
        <v>1080</v>
      </c>
    </row>
    <row r="10" spans="1:7" x14ac:dyDescent="0.3">
      <c r="A10" s="1">
        <v>45324</v>
      </c>
      <c r="B10" t="s">
        <v>7</v>
      </c>
      <c r="C10" t="s">
        <v>31</v>
      </c>
      <c r="D10" t="s">
        <v>32</v>
      </c>
      <c r="E10">
        <v>6</v>
      </c>
      <c r="F10">
        <v>480</v>
      </c>
      <c r="G10">
        <v>2880</v>
      </c>
    </row>
    <row r="11" spans="1:7" x14ac:dyDescent="0.3">
      <c r="A11" s="1">
        <v>45328</v>
      </c>
      <c r="B11" t="s">
        <v>13</v>
      </c>
      <c r="C11" t="s">
        <v>33</v>
      </c>
      <c r="D11" t="s">
        <v>34</v>
      </c>
      <c r="E11">
        <v>1</v>
      </c>
      <c r="F11">
        <v>350</v>
      </c>
      <c r="G11">
        <v>350</v>
      </c>
    </row>
    <row r="12" spans="1:7" x14ac:dyDescent="0.3">
      <c r="A12" s="1">
        <v>45332</v>
      </c>
      <c r="B12" t="s">
        <v>19</v>
      </c>
      <c r="C12" t="s">
        <v>35</v>
      </c>
      <c r="D12" t="s">
        <v>9</v>
      </c>
      <c r="E12">
        <v>1</v>
      </c>
      <c r="F12">
        <v>650</v>
      </c>
      <c r="G12">
        <v>650</v>
      </c>
    </row>
    <row r="13" spans="1:7" x14ac:dyDescent="0.3">
      <c r="A13" s="1">
        <v>45336</v>
      </c>
      <c r="B13" t="s">
        <v>16</v>
      </c>
      <c r="C13" t="s">
        <v>36</v>
      </c>
      <c r="D13" t="s">
        <v>15</v>
      </c>
      <c r="E13">
        <v>2</v>
      </c>
      <c r="F13">
        <v>140</v>
      </c>
      <c r="G13">
        <v>280</v>
      </c>
    </row>
    <row r="14" spans="1:7" x14ac:dyDescent="0.3">
      <c r="A14" s="1">
        <v>45340</v>
      </c>
      <c r="B14" t="s">
        <v>10</v>
      </c>
      <c r="C14" t="s">
        <v>37</v>
      </c>
      <c r="D14" t="s">
        <v>18</v>
      </c>
      <c r="E14">
        <v>2</v>
      </c>
      <c r="F14">
        <v>600</v>
      </c>
      <c r="G14">
        <v>1200</v>
      </c>
    </row>
    <row r="15" spans="1:7" x14ac:dyDescent="0.3">
      <c r="A15" s="1">
        <v>45344</v>
      </c>
      <c r="B15" t="s">
        <v>22</v>
      </c>
      <c r="C15" t="s">
        <v>38</v>
      </c>
      <c r="D15" t="s">
        <v>12</v>
      </c>
      <c r="E15">
        <v>8</v>
      </c>
      <c r="F15">
        <v>240</v>
      </c>
      <c r="G15">
        <v>1920</v>
      </c>
    </row>
    <row r="16" spans="1:7" x14ac:dyDescent="0.3">
      <c r="A16" s="1">
        <v>45348</v>
      </c>
      <c r="B16" t="s">
        <v>25</v>
      </c>
      <c r="C16" t="s">
        <v>39</v>
      </c>
      <c r="D16" t="s">
        <v>21</v>
      </c>
      <c r="E16">
        <v>1</v>
      </c>
      <c r="F16">
        <v>220</v>
      </c>
      <c r="G16">
        <v>220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F1A1-DEEC-4067-BD46-8A105813C70B}">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9F623-CB73-4493-A896-888D3C02F2FC}">
  <dimension ref="T11"/>
  <sheetViews>
    <sheetView showGridLines="0" zoomScale="94" zoomScaleNormal="94" workbookViewId="0">
      <selection activeCell="T3" sqref="T3"/>
    </sheetView>
  </sheetViews>
  <sheetFormatPr defaultRowHeight="14.4" x14ac:dyDescent="0.3"/>
  <sheetData>
    <row r="11" spans="20:20" x14ac:dyDescent="0.3">
      <c r="T1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56CE5470-B3B4-4E16-BEBE-6DD809AD739E}">
  <ds:schemaRefs/>
</ds:datastoreItem>
</file>

<file path=customXml/itemProps2.xml><?xml version="1.0" encoding="utf-8"?>
<ds:datastoreItem xmlns:ds="http://schemas.openxmlformats.org/officeDocument/2006/customXml" ds:itemID="{48F46B56-AD8B-4068-B178-99987086FFAB}">
  <ds:schemaRefs/>
</ds:datastoreItem>
</file>

<file path=customXml/itemProps3.xml><?xml version="1.0" encoding="utf-8"?>
<ds:datastoreItem xmlns:ds="http://schemas.openxmlformats.org/officeDocument/2006/customXml" ds:itemID="{3DB528CB-5123-40D0-85C8-7FA6DC995255}">
  <ds:schemaRefs/>
</ds:datastoreItem>
</file>

<file path=customXml/itemProps4.xml><?xml version="1.0" encoding="utf-8"?>
<ds:datastoreItem xmlns:ds="http://schemas.openxmlformats.org/officeDocument/2006/customXml" ds:itemID="{939B7895-1D7A-441E-9EF1-B36AEE916A76}">
  <ds:schemaRefs/>
</ds:datastoreItem>
</file>

<file path=customXml/itemProps5.xml><?xml version="1.0" encoding="utf-8"?>
<ds:datastoreItem xmlns:ds="http://schemas.openxmlformats.org/officeDocument/2006/customXml" ds:itemID="{C886EBF3-30D6-421C-9DBF-327A4E617E40}">
  <ds:schemaRefs/>
</ds:datastoreItem>
</file>

<file path=customXml/itemProps6.xml><?xml version="1.0" encoding="utf-8"?>
<ds:datastoreItem xmlns:ds="http://schemas.openxmlformats.org/officeDocument/2006/customXml" ds:itemID="{EC8B3182-ED87-4F6E-9D88-CE0E78FB0E42}">
  <ds:schemaRefs/>
</ds:datastoreItem>
</file>

<file path=customXml/itemProps7.xml><?xml version="1.0" encoding="utf-8"?>
<ds:datastoreItem xmlns:ds="http://schemas.openxmlformats.org/officeDocument/2006/customXml" ds:itemID="{7F517088-C998-48D4-B331-53FEA758E63A}">
  <ds:schemaRefs/>
</ds:datastoreItem>
</file>

<file path=customXml/itemProps8.xml><?xml version="1.0" encoding="utf-8"?>
<ds:datastoreItem xmlns:ds="http://schemas.openxmlformats.org/officeDocument/2006/customXml" ds:itemID="{578AB341-4BEB-458B-83E3-CFA2F81C5507}">
  <ds:schemaRefs/>
</ds:datastoreItem>
</file>

<file path=customXml/itemProps9.xml><?xml version="1.0" encoding="utf-8"?>
<ds:datastoreItem xmlns:ds="http://schemas.openxmlformats.org/officeDocument/2006/customXml" ds:itemID="{896612C4-4F8A-46E5-A791-46C3FD9B8C47}">
  <ds:schemaRefs/>
</ds:datastoreItem>
</file>

<file path=customXml/itemProps10.xml><?xml version="1.0" encoding="utf-8"?>
<ds:datastoreItem xmlns:ds="http://schemas.openxmlformats.org/officeDocument/2006/customXml" ds:itemID="{0C6E95AA-33A9-4A8C-9D8D-A031CEC541BC}">
  <ds:schemaRefs/>
</ds:datastoreItem>
</file>

<file path=customXml/itemProps11.xml><?xml version="1.0" encoding="utf-8"?>
<ds:datastoreItem xmlns:ds="http://schemas.openxmlformats.org/officeDocument/2006/customXml" ds:itemID="{118CAFC1-EFE0-4E05-B1E1-17AC4B4E0D50}">
  <ds:schemaRefs/>
</ds:datastoreItem>
</file>

<file path=customXml/itemProps12.xml><?xml version="1.0" encoding="utf-8"?>
<ds:datastoreItem xmlns:ds="http://schemas.openxmlformats.org/officeDocument/2006/customXml" ds:itemID="{7BB1002C-3EEC-410A-995D-81E7F3E9409A}">
  <ds:schemaRefs/>
</ds:datastoreItem>
</file>

<file path=customXml/itemProps13.xml><?xml version="1.0" encoding="utf-8"?>
<ds:datastoreItem xmlns:ds="http://schemas.openxmlformats.org/officeDocument/2006/customXml" ds:itemID="{E710F90E-C366-499E-8AED-A101F748439C}">
  <ds:schemaRefs/>
</ds:datastoreItem>
</file>

<file path=customXml/itemProps14.xml><?xml version="1.0" encoding="utf-8"?>
<ds:datastoreItem xmlns:ds="http://schemas.openxmlformats.org/officeDocument/2006/customXml" ds:itemID="{5AFD20F2-5A57-4CC8-A4A7-1B76A7AF9AF8}">
  <ds:schemaRefs/>
</ds:datastoreItem>
</file>

<file path=customXml/itemProps15.xml><?xml version="1.0" encoding="utf-8"?>
<ds:datastoreItem xmlns:ds="http://schemas.openxmlformats.org/officeDocument/2006/customXml" ds:itemID="{A779F443-62C7-483F-A2FE-3DDABD5BD5F7}">
  <ds:schemaRefs>
    <ds:schemaRef ds:uri="http://schemas.microsoft.com/DataMashup"/>
  </ds:schemaRefs>
</ds:datastoreItem>
</file>

<file path=customXml/itemProps16.xml><?xml version="1.0" encoding="utf-8"?>
<ds:datastoreItem xmlns:ds="http://schemas.openxmlformats.org/officeDocument/2006/customXml" ds:itemID="{565D49BA-99AF-429C-B49C-67C24F952382}">
  <ds:schemaRefs/>
</ds:datastoreItem>
</file>

<file path=customXml/itemProps17.xml><?xml version="1.0" encoding="utf-8"?>
<ds:datastoreItem xmlns:ds="http://schemas.openxmlformats.org/officeDocument/2006/customXml" ds:itemID="{963043F5-369F-4198-92B3-080A45293DFF}">
  <ds:schemaRefs/>
</ds:datastoreItem>
</file>

<file path=customXml/itemProps18.xml><?xml version="1.0" encoding="utf-8"?>
<ds:datastoreItem xmlns:ds="http://schemas.openxmlformats.org/officeDocument/2006/customXml" ds:itemID="{7F17B8CA-CA17-4A15-B7FF-0D943E5A9245}">
  <ds:schemaRefs/>
</ds:datastoreItem>
</file>

<file path=customXml/itemProps19.xml><?xml version="1.0" encoding="utf-8"?>
<ds:datastoreItem xmlns:ds="http://schemas.openxmlformats.org/officeDocument/2006/customXml" ds:itemID="{B717257B-EF19-434A-B0E3-61BE62FABB6A}">
  <ds:schemaRefs/>
</ds:datastoreItem>
</file>

<file path=customXml/itemProps20.xml><?xml version="1.0" encoding="utf-8"?>
<ds:datastoreItem xmlns:ds="http://schemas.openxmlformats.org/officeDocument/2006/customXml" ds:itemID="{81C0C156-D660-4361-BE0C-C4FA68DAA480}">
  <ds:schemaRefs/>
</ds:datastoreItem>
</file>

<file path=customXml/itemProps21.xml><?xml version="1.0" encoding="utf-8"?>
<ds:datastoreItem xmlns:ds="http://schemas.openxmlformats.org/officeDocument/2006/customXml" ds:itemID="{82AA16C3-5D41-4911-A8E6-ED03D19FC226}">
  <ds:schemaRefs/>
</ds:datastoreItem>
</file>

<file path=customXml/itemProps22.xml><?xml version="1.0" encoding="utf-8"?>
<ds:datastoreItem xmlns:ds="http://schemas.openxmlformats.org/officeDocument/2006/customXml" ds:itemID="{2A48865F-8624-4B84-9C69-74D7695D33BE}">
  <ds:schemaRefs/>
</ds:datastoreItem>
</file>

<file path=customXml/itemProps23.xml><?xml version="1.0" encoding="utf-8"?>
<ds:datastoreItem xmlns:ds="http://schemas.openxmlformats.org/officeDocument/2006/customXml" ds:itemID="{BD5B1C42-E2C7-48F4-B028-F888603F1519}">
  <ds:schemaRefs/>
</ds:datastoreItem>
</file>

<file path=customXml/itemProps24.xml><?xml version="1.0" encoding="utf-8"?>
<ds:datastoreItem xmlns:ds="http://schemas.openxmlformats.org/officeDocument/2006/customXml" ds:itemID="{1747A2A6-CDD3-4D23-914E-58376907E01A}">
  <ds:schemaRefs/>
</ds:datastoreItem>
</file>

<file path=customXml/itemProps25.xml><?xml version="1.0" encoding="utf-8"?>
<ds:datastoreItem xmlns:ds="http://schemas.openxmlformats.org/officeDocument/2006/customXml" ds:itemID="{A6B30D2C-047B-4017-84B1-0505A82405C6}">
  <ds:schemaRefs/>
</ds:datastoreItem>
</file>

<file path=customXml/itemProps26.xml><?xml version="1.0" encoding="utf-8"?>
<ds:datastoreItem xmlns:ds="http://schemas.openxmlformats.org/officeDocument/2006/customXml" ds:itemID="{40CBC39A-A640-4613-94DB-A5359248555D}">
  <ds:schemaRefs/>
</ds:datastoreItem>
</file>

<file path=customXml/itemProps27.xml><?xml version="1.0" encoding="utf-8"?>
<ds:datastoreItem xmlns:ds="http://schemas.openxmlformats.org/officeDocument/2006/customXml" ds:itemID="{4FA034AD-6AC3-4C54-89D3-E78D18EEFC2C}">
  <ds:schemaRefs/>
</ds:datastoreItem>
</file>

<file path=customXml/itemProps28.xml><?xml version="1.0" encoding="utf-8"?>
<ds:datastoreItem xmlns:ds="http://schemas.openxmlformats.org/officeDocument/2006/customXml" ds:itemID="{2D7041D8-CD91-4058-BC40-637A2A300E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Sales 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REAJUL ISLAM</dc:creator>
  <cp:lastModifiedBy>MD REAJUL ISLAM</cp:lastModifiedBy>
  <dcterms:created xsi:type="dcterms:W3CDTF">2026-06-24T14:10:51Z</dcterms:created>
  <dcterms:modified xsi:type="dcterms:W3CDTF">2026-07-05T15:42:54Z</dcterms:modified>
</cp:coreProperties>
</file>